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ongha Lee\OneDrive - kaist.ac.kr\내파일\siltron\PMSCP_B-C_Quality\"/>
    </mc:Choice>
  </mc:AlternateContent>
  <xr:revisionPtr revIDLastSave="0" documentId="13_ncr:1_{E5B43BA6-3FC5-4F60-9BA4-CFAE100272DB}" xr6:coauthVersionLast="47" xr6:coauthVersionMax="47" xr10:uidLastSave="{00000000-0000-0000-0000-000000000000}"/>
  <bookViews>
    <workbookView xWindow="28680" yWindow="-120" windowWidth="29040" windowHeight="15840" firstSheet="2" activeTab="4" xr2:uid="{B0B4C052-4AA0-415E-A0BB-57895F19BCBF}"/>
  </bookViews>
  <sheets>
    <sheet name="no_cg" sheetId="64" r:id="rId1"/>
    <sheet name="low_high_no_cg" sheetId="63" r:id="rId2"/>
    <sheet name="large_size_no_cg" sheetId="65" r:id="rId3"/>
    <sheet name="no_observation" sheetId="59" r:id="rId4"/>
    <sheet name="base_high" sheetId="51" r:id="rId5"/>
    <sheet name="low_high" sheetId="57" r:id="rId6"/>
    <sheet name="high_high" sheetId="58" r:id="rId7"/>
    <sheet name="large_size_ATCSQ" sheetId="67" r:id="rId8"/>
    <sheet name="large_size_GA" sheetId="68" r:id="rId9"/>
    <sheet name="large_size" sheetId="66" r:id="rId10"/>
    <sheet name="case_study" sheetId="69" r:id="rId11"/>
  </sheets>
  <definedNames>
    <definedName name="_xlnm._FilterDatabase" localSheetId="4" hidden="1">base_high!$N$1:$N$323</definedName>
    <definedName name="_xlnm._FilterDatabase" localSheetId="6" hidden="1">high_high!$K$1:$K$323</definedName>
    <definedName name="_xlnm._FilterDatabase" localSheetId="9" hidden="1">large_size!$L$1:$L$163</definedName>
    <definedName name="_xlnm._FilterDatabase" localSheetId="7" hidden="1">large_size_ATCSQ!$I$1:$I$163</definedName>
    <definedName name="_xlnm._FilterDatabase" localSheetId="8" hidden="1">large_size_GA!$I$1:$I$163</definedName>
    <definedName name="_xlnm._FilterDatabase" localSheetId="2" hidden="1">large_size_no_cg!$L$1:$L$163</definedName>
    <definedName name="_xlnm._FilterDatabase" localSheetId="5" hidden="1">low_high!$K$1:$K$323</definedName>
    <definedName name="_xlnm._FilterDatabase" localSheetId="1" hidden="1">low_high_no_cg!$K$1:$K$323</definedName>
    <definedName name="_xlnm._FilterDatabase" localSheetId="0" hidden="1">no_cg!$K$1:$K$323</definedName>
    <definedName name="_xlnm._FilterDatabase" localSheetId="3" hidden="1">no_observation!$K$1:$K$323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69" l="1"/>
  <c r="F14" i="69"/>
  <c r="F13" i="69"/>
  <c r="F12" i="69"/>
  <c r="F4" i="69"/>
  <c r="F7" i="69"/>
  <c r="F6" i="69"/>
  <c r="F5" i="69"/>
  <c r="L42" i="68" a="1"/>
  <c r="L42" i="68" s="1"/>
  <c r="L32" i="68" a="1"/>
  <c r="L32" i="68" s="1"/>
  <c r="L22" i="68" a="1"/>
  <c r="L22" i="68" s="1"/>
  <c r="L12" i="68" a="1"/>
  <c r="L12" i="68" s="1"/>
  <c r="L42" i="67" a="1"/>
  <c r="L42" i="67" s="1"/>
  <c r="L32" i="67" a="1"/>
  <c r="L32" i="67" s="1"/>
  <c r="L22" i="67" a="1"/>
  <c r="L22" i="67" s="1"/>
  <c r="L12" i="67" a="1"/>
  <c r="L12" i="67" s="1"/>
  <c r="F163" i="68"/>
  <c r="E163" i="68"/>
  <c r="D163" i="68"/>
  <c r="G83" i="68"/>
  <c r="F83" i="68"/>
  <c r="E83" i="68"/>
  <c r="D83" i="68"/>
  <c r="J82" i="68"/>
  <c r="I82" i="68"/>
  <c r="J81" i="68"/>
  <c r="J80" i="68"/>
  <c r="J79" i="68"/>
  <c r="J78" i="68"/>
  <c r="J77" i="68"/>
  <c r="J76" i="68"/>
  <c r="J75" i="68"/>
  <c r="J74" i="68"/>
  <c r="J73" i="68"/>
  <c r="J72" i="68"/>
  <c r="I72" i="68"/>
  <c r="J71" i="68"/>
  <c r="J70" i="68"/>
  <c r="J69" i="68"/>
  <c r="J68" i="68"/>
  <c r="J67" i="68"/>
  <c r="J66" i="68"/>
  <c r="J65" i="68"/>
  <c r="J64" i="68"/>
  <c r="J63" i="68"/>
  <c r="J62" i="68"/>
  <c r="I62" i="68"/>
  <c r="J61" i="68"/>
  <c r="J60" i="68"/>
  <c r="J59" i="68"/>
  <c r="J58" i="68"/>
  <c r="J57" i="68"/>
  <c r="J56" i="68"/>
  <c r="J55" i="68"/>
  <c r="J54" i="68"/>
  <c r="J53" i="68"/>
  <c r="J52" i="68"/>
  <c r="I52" i="68"/>
  <c r="J51" i="68"/>
  <c r="J50" i="68"/>
  <c r="J49" i="68"/>
  <c r="J48" i="68"/>
  <c r="J47" i="68"/>
  <c r="J46" i="68"/>
  <c r="J45" i="68"/>
  <c r="J44" i="68"/>
  <c r="J43" i="68"/>
  <c r="J42" i="68" a="1"/>
  <c r="J42" i="68" s="1"/>
  <c r="I42" i="68"/>
  <c r="H42" i="68"/>
  <c r="H41" i="68"/>
  <c r="H40" i="68"/>
  <c r="H39" i="68"/>
  <c r="H38" i="68"/>
  <c r="H37" i="68"/>
  <c r="H36" i="68"/>
  <c r="H35" i="68"/>
  <c r="H34" i="68"/>
  <c r="H33" i="68"/>
  <c r="J32" i="68" a="1"/>
  <c r="J32" i="68" s="1"/>
  <c r="I32" i="68"/>
  <c r="H32" i="68"/>
  <c r="H31" i="68"/>
  <c r="H30" i="68"/>
  <c r="H29" i="68"/>
  <c r="H28" i="68"/>
  <c r="H27" i="68"/>
  <c r="H26" i="68"/>
  <c r="H25" i="68"/>
  <c r="H24" i="68"/>
  <c r="H23" i="68"/>
  <c r="J22" i="68" a="1"/>
  <c r="J22" i="68" s="1"/>
  <c r="I22" i="68"/>
  <c r="H22" i="68"/>
  <c r="H21" i="68"/>
  <c r="H20" i="68"/>
  <c r="H19" i="68"/>
  <c r="H18" i="68"/>
  <c r="H17" i="68"/>
  <c r="H16" i="68"/>
  <c r="H15" i="68"/>
  <c r="H14" i="68"/>
  <c r="H13" i="68"/>
  <c r="J12" i="68" a="1"/>
  <c r="J12" i="68" s="1"/>
  <c r="I12" i="68"/>
  <c r="H12" i="68"/>
  <c r="H11" i="68"/>
  <c r="H10" i="68"/>
  <c r="H9" i="68"/>
  <c r="H8" i="68"/>
  <c r="H7" i="68"/>
  <c r="H6" i="68"/>
  <c r="H5" i="68"/>
  <c r="H4" i="68"/>
  <c r="H3" i="68"/>
  <c r="F163" i="67"/>
  <c r="E163" i="67"/>
  <c r="D163" i="67"/>
  <c r="G83" i="67"/>
  <c r="F83" i="67"/>
  <c r="E83" i="67"/>
  <c r="D83" i="67"/>
  <c r="J82" i="67"/>
  <c r="I82" i="67"/>
  <c r="J81" i="67"/>
  <c r="J80" i="67"/>
  <c r="J79" i="67"/>
  <c r="J78" i="67"/>
  <c r="J77" i="67"/>
  <c r="J76" i="67"/>
  <c r="J75" i="67"/>
  <c r="J74" i="67"/>
  <c r="J73" i="67"/>
  <c r="J72" i="67"/>
  <c r="I72" i="67"/>
  <c r="J71" i="67"/>
  <c r="J70" i="67"/>
  <c r="J69" i="67"/>
  <c r="J68" i="67"/>
  <c r="J67" i="67"/>
  <c r="J66" i="67"/>
  <c r="J65" i="67"/>
  <c r="J64" i="67"/>
  <c r="J63" i="67"/>
  <c r="J62" i="67"/>
  <c r="I62" i="67"/>
  <c r="J61" i="67"/>
  <c r="J60" i="67"/>
  <c r="J59" i="67"/>
  <c r="J58" i="67"/>
  <c r="J57" i="67"/>
  <c r="J56" i="67"/>
  <c r="J55" i="67"/>
  <c r="J54" i="67"/>
  <c r="J53" i="67"/>
  <c r="J52" i="67"/>
  <c r="I52" i="67"/>
  <c r="J51" i="67"/>
  <c r="J50" i="67"/>
  <c r="J49" i="67"/>
  <c r="J48" i="67"/>
  <c r="J47" i="67"/>
  <c r="J46" i="67"/>
  <c r="J45" i="67"/>
  <c r="J44" i="67"/>
  <c r="J43" i="67"/>
  <c r="J42" i="67" a="1"/>
  <c r="J42" i="67" s="1"/>
  <c r="I42" i="67"/>
  <c r="H42" i="67"/>
  <c r="H41" i="67"/>
  <c r="H40" i="67"/>
  <c r="H39" i="67"/>
  <c r="H38" i="67"/>
  <c r="H37" i="67"/>
  <c r="H36" i="67"/>
  <c r="H35" i="67"/>
  <c r="H34" i="67"/>
  <c r="H33" i="67"/>
  <c r="J32" i="67" a="1"/>
  <c r="J32" i="67" s="1"/>
  <c r="I32" i="67"/>
  <c r="H32" i="67"/>
  <c r="H31" i="67"/>
  <c r="H30" i="67"/>
  <c r="H29" i="67"/>
  <c r="H28" i="67"/>
  <c r="H27" i="67"/>
  <c r="H26" i="67"/>
  <c r="H25" i="67"/>
  <c r="H24" i="67"/>
  <c r="H23" i="67"/>
  <c r="J22" i="67" a="1"/>
  <c r="J22" i="67" s="1"/>
  <c r="I22" i="67"/>
  <c r="H22" i="67"/>
  <c r="H21" i="67"/>
  <c r="H20" i="67"/>
  <c r="H19" i="67"/>
  <c r="H18" i="67"/>
  <c r="H17" i="67"/>
  <c r="H16" i="67"/>
  <c r="H15" i="67"/>
  <c r="H14" i="67"/>
  <c r="H13" i="67"/>
  <c r="J12" i="67" a="1"/>
  <c r="J12" i="67" s="1"/>
  <c r="J83" i="67" s="1"/>
  <c r="I12" i="67"/>
  <c r="I163" i="67" s="1"/>
  <c r="H12" i="67"/>
  <c r="H11" i="67"/>
  <c r="H10" i="67"/>
  <c r="H9" i="67"/>
  <c r="H8" i="67"/>
  <c r="H7" i="67"/>
  <c r="H6" i="67"/>
  <c r="H5" i="67"/>
  <c r="H4" i="67"/>
  <c r="H3" i="67"/>
  <c r="F163" i="66"/>
  <c r="E163" i="66"/>
  <c r="D163" i="66"/>
  <c r="J83" i="66"/>
  <c r="I83" i="66"/>
  <c r="H83" i="66"/>
  <c r="G83" i="66"/>
  <c r="F83" i="66"/>
  <c r="E83" i="66"/>
  <c r="D83" i="66"/>
  <c r="L82" i="66"/>
  <c r="K82" i="66"/>
  <c r="K81" i="66"/>
  <c r="K80" i="66"/>
  <c r="K79" i="66"/>
  <c r="K78" i="66"/>
  <c r="K77" i="66"/>
  <c r="K76" i="66"/>
  <c r="K75" i="66"/>
  <c r="K74" i="66"/>
  <c r="K73" i="66"/>
  <c r="L72" i="66"/>
  <c r="K72" i="66"/>
  <c r="K71" i="66"/>
  <c r="K70" i="66"/>
  <c r="K69" i="66"/>
  <c r="K68" i="66"/>
  <c r="K67" i="66"/>
  <c r="K66" i="66"/>
  <c r="K65" i="66"/>
  <c r="K64" i="66"/>
  <c r="K63" i="66"/>
  <c r="L62" i="66"/>
  <c r="K62" i="66"/>
  <c r="K61" i="66"/>
  <c r="K60" i="66"/>
  <c r="K59" i="66"/>
  <c r="K58" i="66"/>
  <c r="K57" i="66"/>
  <c r="K56" i="66"/>
  <c r="K55" i="66"/>
  <c r="K54" i="66"/>
  <c r="K53" i="66"/>
  <c r="L52" i="66"/>
  <c r="K52" i="66"/>
  <c r="K51" i="66"/>
  <c r="K50" i="66"/>
  <c r="K49" i="66"/>
  <c r="K48" i="66"/>
  <c r="K47" i="66"/>
  <c r="K46" i="66"/>
  <c r="K45" i="66"/>
  <c r="K44" i="66"/>
  <c r="K43" i="66"/>
  <c r="O42" i="66" a="1"/>
  <c r="O42" i="66" s="1"/>
  <c r="M42" i="66"/>
  <c r="L42" i="66"/>
  <c r="K42" i="66"/>
  <c r="K41" i="66"/>
  <c r="K40" i="66"/>
  <c r="K39" i="66"/>
  <c r="K38" i="66"/>
  <c r="K37" i="66"/>
  <c r="K36" i="66"/>
  <c r="K35" i="66"/>
  <c r="K34" i="66"/>
  <c r="K33" i="66"/>
  <c r="O32" i="66" a="1"/>
  <c r="O32" i="66" s="1"/>
  <c r="M32" i="66"/>
  <c r="L32" i="66"/>
  <c r="K32" i="66"/>
  <c r="K31" i="66"/>
  <c r="K30" i="66"/>
  <c r="K29" i="66"/>
  <c r="K28" i="66"/>
  <c r="K27" i="66"/>
  <c r="K26" i="66"/>
  <c r="K25" i="66"/>
  <c r="N32" i="66" s="1"/>
  <c r="K24" i="66"/>
  <c r="K23" i="66"/>
  <c r="O22" i="66" a="1"/>
  <c r="O22" i="66" s="1"/>
  <c r="M22" i="66"/>
  <c r="L22" i="66"/>
  <c r="K22" i="66"/>
  <c r="K21" i="66"/>
  <c r="K20" i="66"/>
  <c r="K19" i="66"/>
  <c r="K18" i="66"/>
  <c r="K17" i="66"/>
  <c r="K16" i="66"/>
  <c r="K15" i="66"/>
  <c r="K14" i="66"/>
  <c r="K13" i="66"/>
  <c r="O12" i="66" a="1"/>
  <c r="O12" i="66" s="1"/>
  <c r="M12" i="66"/>
  <c r="L12" i="66"/>
  <c r="K12" i="66"/>
  <c r="K11" i="66"/>
  <c r="K10" i="66"/>
  <c r="K9" i="66"/>
  <c r="K8" i="66"/>
  <c r="K7" i="66"/>
  <c r="K6" i="66"/>
  <c r="K5" i="66"/>
  <c r="K4" i="66"/>
  <c r="K3" i="66"/>
  <c r="I163" i="68" l="1"/>
  <c r="K32" i="68"/>
  <c r="K22" i="68"/>
  <c r="K42" i="68"/>
  <c r="K12" i="68"/>
  <c r="J83" i="68"/>
  <c r="J163" i="68"/>
  <c r="K32" i="67"/>
  <c r="K12" i="67"/>
  <c r="K42" i="67"/>
  <c r="K22" i="67"/>
  <c r="J163" i="67"/>
  <c r="K83" i="66"/>
  <c r="N22" i="66"/>
  <c r="N12" i="66"/>
  <c r="L163" i="66"/>
  <c r="K163" i="66"/>
  <c r="N42" i="66"/>
  <c r="F163" i="65"/>
  <c r="E163" i="65"/>
  <c r="D163" i="65"/>
  <c r="J83" i="65"/>
  <c r="I83" i="65"/>
  <c r="H83" i="65"/>
  <c r="G83" i="65"/>
  <c r="F83" i="65"/>
  <c r="E83" i="65"/>
  <c r="D83" i="65"/>
  <c r="L82" i="65"/>
  <c r="K82" i="65"/>
  <c r="K81" i="65"/>
  <c r="K80" i="65"/>
  <c r="K79" i="65"/>
  <c r="K78" i="65"/>
  <c r="K77" i="65"/>
  <c r="K76" i="65"/>
  <c r="K75" i="65"/>
  <c r="K74" i="65"/>
  <c r="K73" i="65"/>
  <c r="L72" i="65"/>
  <c r="K72" i="65"/>
  <c r="K71" i="65"/>
  <c r="K70" i="65"/>
  <c r="K69" i="65"/>
  <c r="K68" i="65"/>
  <c r="K67" i="65"/>
  <c r="K66" i="65"/>
  <c r="K65" i="65"/>
  <c r="K64" i="65"/>
  <c r="K63" i="65"/>
  <c r="L62" i="65"/>
  <c r="K62" i="65"/>
  <c r="K61" i="65"/>
  <c r="K60" i="65"/>
  <c r="K59" i="65"/>
  <c r="K58" i="65"/>
  <c r="K57" i="65"/>
  <c r="K56" i="65"/>
  <c r="K55" i="65"/>
  <c r="K54" i="65"/>
  <c r="K53" i="65"/>
  <c r="L52" i="65"/>
  <c r="K52" i="65"/>
  <c r="K51" i="65"/>
  <c r="K50" i="65"/>
  <c r="K49" i="65"/>
  <c r="K48" i="65"/>
  <c r="K47" i="65"/>
  <c r="K46" i="65"/>
  <c r="K45" i="65"/>
  <c r="K44" i="65"/>
  <c r="K43" i="65"/>
  <c r="O42" i="65"/>
  <c r="O42" i="65" a="1"/>
  <c r="M42" i="65"/>
  <c r="L42" i="65"/>
  <c r="K42" i="65"/>
  <c r="K41" i="65"/>
  <c r="K40" i="65"/>
  <c r="K39" i="65"/>
  <c r="K38" i="65"/>
  <c r="K37" i="65"/>
  <c r="K36" i="65"/>
  <c r="K35" i="65"/>
  <c r="K34" i="65"/>
  <c r="K33" i="65"/>
  <c r="O32" i="65" a="1"/>
  <c r="O32" i="65" s="1"/>
  <c r="M32" i="65"/>
  <c r="L32" i="65"/>
  <c r="K32" i="65"/>
  <c r="K31" i="65"/>
  <c r="K30" i="65"/>
  <c r="K29" i="65"/>
  <c r="K28" i="65"/>
  <c r="K27" i="65"/>
  <c r="K26" i="65"/>
  <c r="K25" i="65"/>
  <c r="K24" i="65"/>
  <c r="K23" i="65"/>
  <c r="O22" i="65" a="1"/>
  <c r="O22" i="65" s="1"/>
  <c r="M22" i="65"/>
  <c r="L22" i="65"/>
  <c r="K22" i="65"/>
  <c r="K21" i="65"/>
  <c r="K20" i="65"/>
  <c r="K19" i="65"/>
  <c r="K18" i="65"/>
  <c r="K17" i="65"/>
  <c r="K16" i="65"/>
  <c r="K15" i="65"/>
  <c r="K14" i="65"/>
  <c r="K13" i="65"/>
  <c r="O12" i="65" a="1"/>
  <c r="O12" i="65" s="1"/>
  <c r="M12" i="65"/>
  <c r="L12" i="65"/>
  <c r="K12" i="65"/>
  <c r="K11" i="65"/>
  <c r="K10" i="65"/>
  <c r="K9" i="65"/>
  <c r="K8" i="65"/>
  <c r="K7" i="65"/>
  <c r="K6" i="65"/>
  <c r="K5" i="65"/>
  <c r="K4" i="65"/>
  <c r="K3" i="65"/>
  <c r="F323" i="64"/>
  <c r="E323" i="64"/>
  <c r="D323" i="64"/>
  <c r="J243" i="64"/>
  <c r="I243" i="64"/>
  <c r="H243" i="64"/>
  <c r="G243" i="64"/>
  <c r="F243" i="64"/>
  <c r="E243" i="64"/>
  <c r="D243" i="64"/>
  <c r="L242" i="64"/>
  <c r="K242" i="64"/>
  <c r="L241" i="64"/>
  <c r="L240" i="64"/>
  <c r="L239" i="64"/>
  <c r="L238" i="64"/>
  <c r="L237" i="64"/>
  <c r="L236" i="64"/>
  <c r="L235" i="64"/>
  <c r="L234" i="64"/>
  <c r="L233" i="64"/>
  <c r="L232" i="64"/>
  <c r="K232" i="64"/>
  <c r="L231" i="64"/>
  <c r="L230" i="64"/>
  <c r="L229" i="64"/>
  <c r="L228" i="64"/>
  <c r="L227" i="64"/>
  <c r="L226" i="64"/>
  <c r="L225" i="64"/>
  <c r="L224" i="64"/>
  <c r="L223" i="64"/>
  <c r="L222" i="64"/>
  <c r="K222" i="64"/>
  <c r="L221" i="64"/>
  <c r="L220" i="64"/>
  <c r="L219" i="64"/>
  <c r="L218" i="64"/>
  <c r="L217" i="64"/>
  <c r="L216" i="64"/>
  <c r="L215" i="64"/>
  <c r="L214" i="64"/>
  <c r="L213" i="64"/>
  <c r="L212" i="64"/>
  <c r="K212" i="64"/>
  <c r="L211" i="64"/>
  <c r="L210" i="64"/>
  <c r="L209" i="64"/>
  <c r="L208" i="64"/>
  <c r="L207" i="64"/>
  <c r="L206" i="64"/>
  <c r="L205" i="64"/>
  <c r="L204" i="64"/>
  <c r="L203" i="64"/>
  <c r="L202" i="64"/>
  <c r="K202" i="64"/>
  <c r="L201" i="64"/>
  <c r="L200" i="64"/>
  <c r="L199" i="64"/>
  <c r="L198" i="64"/>
  <c r="L197" i="64"/>
  <c r="L196" i="64"/>
  <c r="L195" i="64"/>
  <c r="L194" i="64"/>
  <c r="L193" i="64"/>
  <c r="L192" i="64"/>
  <c r="K192" i="64"/>
  <c r="L191" i="64"/>
  <c r="L190" i="64"/>
  <c r="L189" i="64"/>
  <c r="L188" i="64"/>
  <c r="L187" i="64"/>
  <c r="L186" i="64"/>
  <c r="L185" i="64"/>
  <c r="L184" i="64"/>
  <c r="L183" i="64"/>
  <c r="L182" i="64"/>
  <c r="K182" i="64"/>
  <c r="L181" i="64"/>
  <c r="L180" i="64"/>
  <c r="L179" i="64"/>
  <c r="L178" i="64"/>
  <c r="L177" i="64"/>
  <c r="L176" i="64"/>
  <c r="L175" i="64"/>
  <c r="L174" i="64"/>
  <c r="L173" i="64"/>
  <c r="L172" i="64"/>
  <c r="K172" i="64"/>
  <c r="L171" i="64"/>
  <c r="L170" i="64"/>
  <c r="L169" i="64"/>
  <c r="L168" i="64"/>
  <c r="L167" i="64"/>
  <c r="L166" i="64"/>
  <c r="L165" i="64"/>
  <c r="L164" i="64"/>
  <c r="L163" i="64"/>
  <c r="L162" i="64"/>
  <c r="K162" i="64"/>
  <c r="L161" i="64"/>
  <c r="L160" i="64"/>
  <c r="L159" i="64"/>
  <c r="L158" i="64"/>
  <c r="L157" i="64"/>
  <c r="L156" i="64"/>
  <c r="L155" i="64"/>
  <c r="L154" i="64"/>
  <c r="L153" i="64"/>
  <c r="L152" i="64"/>
  <c r="K152" i="64"/>
  <c r="L151" i="64"/>
  <c r="L150" i="64"/>
  <c r="L149" i="64"/>
  <c r="L148" i="64"/>
  <c r="L147" i="64"/>
  <c r="L146" i="64"/>
  <c r="L145" i="64"/>
  <c r="L144" i="64"/>
  <c r="L143" i="64"/>
  <c r="L142" i="64"/>
  <c r="K142" i="64"/>
  <c r="L141" i="64"/>
  <c r="L140" i="64"/>
  <c r="L139" i="64"/>
  <c r="L138" i="64"/>
  <c r="L137" i="64"/>
  <c r="L136" i="64"/>
  <c r="L135" i="64"/>
  <c r="L134" i="64"/>
  <c r="L133" i="64"/>
  <c r="L132" i="64"/>
  <c r="K132" i="64"/>
  <c r="L131" i="64"/>
  <c r="L130" i="64"/>
  <c r="L129" i="64"/>
  <c r="L128" i="64"/>
  <c r="L127" i="64"/>
  <c r="L126" i="64"/>
  <c r="L125" i="64"/>
  <c r="L124" i="64"/>
  <c r="L123" i="64"/>
  <c r="L122" i="64"/>
  <c r="K122" i="64"/>
  <c r="L121" i="64"/>
  <c r="L120" i="64"/>
  <c r="L119" i="64"/>
  <c r="L118" i="64"/>
  <c r="L117" i="64"/>
  <c r="L116" i="64"/>
  <c r="L115" i="64"/>
  <c r="L114" i="64"/>
  <c r="L113" i="64"/>
  <c r="L112" i="64"/>
  <c r="K112" i="64"/>
  <c r="L111" i="64"/>
  <c r="L110" i="64"/>
  <c r="L109" i="64"/>
  <c r="L108" i="64"/>
  <c r="L107" i="64"/>
  <c r="L106" i="64"/>
  <c r="L105" i="64"/>
  <c r="L104" i="64"/>
  <c r="L103" i="64"/>
  <c r="L102" i="64"/>
  <c r="K102" i="64"/>
  <c r="L101" i="64"/>
  <c r="L100" i="64"/>
  <c r="L99" i="64"/>
  <c r="L98" i="64"/>
  <c r="L97" i="64"/>
  <c r="L96" i="64"/>
  <c r="L95" i="64"/>
  <c r="L94" i="64"/>
  <c r="L93" i="64"/>
  <c r="L92" i="64"/>
  <c r="K92" i="64"/>
  <c r="L91" i="64"/>
  <c r="L90" i="64"/>
  <c r="L89" i="64"/>
  <c r="L88" i="64"/>
  <c r="L87" i="64"/>
  <c r="L86" i="64"/>
  <c r="L85" i="64"/>
  <c r="L84" i="64"/>
  <c r="L83" i="64"/>
  <c r="L82" i="64"/>
  <c r="K82" i="64"/>
  <c r="L81" i="64"/>
  <c r="L80" i="64"/>
  <c r="L79" i="64"/>
  <c r="L78" i="64"/>
  <c r="L77" i="64"/>
  <c r="L76" i="64"/>
  <c r="L75" i="64"/>
  <c r="L74" i="64"/>
  <c r="L73" i="64"/>
  <c r="L72" i="64"/>
  <c r="K72" i="64"/>
  <c r="L71" i="64"/>
  <c r="L70" i="64"/>
  <c r="L69" i="64"/>
  <c r="L68" i="64"/>
  <c r="L67" i="64"/>
  <c r="L66" i="64"/>
  <c r="L65" i="64"/>
  <c r="L64" i="64"/>
  <c r="L63" i="64"/>
  <c r="L62" i="64"/>
  <c r="K62" i="64"/>
  <c r="L61" i="64"/>
  <c r="L60" i="64"/>
  <c r="L59" i="64"/>
  <c r="L58" i="64"/>
  <c r="L57" i="64"/>
  <c r="L56" i="64"/>
  <c r="L55" i="64"/>
  <c r="L54" i="64"/>
  <c r="L53" i="64"/>
  <c r="L52" i="64"/>
  <c r="K52" i="64"/>
  <c r="L51" i="64"/>
  <c r="L50" i="64"/>
  <c r="L49" i="64"/>
  <c r="L48" i="64"/>
  <c r="L47" i="64"/>
  <c r="L46" i="64"/>
  <c r="L45" i="64"/>
  <c r="L44" i="64"/>
  <c r="L43" i="64"/>
  <c r="L42" i="64"/>
  <c r="K42" i="64"/>
  <c r="L41" i="64"/>
  <c r="L40" i="64"/>
  <c r="L39" i="64"/>
  <c r="L38" i="64"/>
  <c r="L37" i="64"/>
  <c r="L36" i="64"/>
  <c r="L35" i="64"/>
  <c r="L34" i="64"/>
  <c r="L33" i="64"/>
  <c r="L32" i="64"/>
  <c r="K32" i="64"/>
  <c r="L31" i="64"/>
  <c r="L30" i="64"/>
  <c r="L29" i="64"/>
  <c r="L28" i="64"/>
  <c r="L27" i="64"/>
  <c r="L26" i="64"/>
  <c r="L25" i="64"/>
  <c r="L24" i="64"/>
  <c r="L23" i="64"/>
  <c r="L22" i="64"/>
  <c r="K22" i="64"/>
  <c r="L21" i="64"/>
  <c r="L20" i="64"/>
  <c r="L19" i="64"/>
  <c r="L18" i="64"/>
  <c r="L17" i="64"/>
  <c r="L16" i="64"/>
  <c r="L15" i="64"/>
  <c r="L14" i="64"/>
  <c r="L13" i="64"/>
  <c r="L12" i="64"/>
  <c r="K12" i="64"/>
  <c r="L11" i="64"/>
  <c r="L10" i="64"/>
  <c r="L9" i="64"/>
  <c r="L8" i="64"/>
  <c r="L7" i="64"/>
  <c r="L6" i="64"/>
  <c r="L5" i="64"/>
  <c r="L4" i="64"/>
  <c r="L3" i="64"/>
  <c r="F323" i="63"/>
  <c r="E323" i="63"/>
  <c r="D323" i="63"/>
  <c r="J243" i="63"/>
  <c r="I243" i="63"/>
  <c r="H243" i="63"/>
  <c r="G243" i="63"/>
  <c r="F243" i="63"/>
  <c r="E243" i="63"/>
  <c r="D243" i="63"/>
  <c r="L242" i="63"/>
  <c r="K242" i="63"/>
  <c r="L241" i="63"/>
  <c r="L240" i="63"/>
  <c r="L239" i="63"/>
  <c r="L238" i="63"/>
  <c r="L237" i="63"/>
  <c r="L236" i="63"/>
  <c r="L235" i="63"/>
  <c r="L234" i="63"/>
  <c r="L233" i="63"/>
  <c r="L232" i="63"/>
  <c r="K232" i="63"/>
  <c r="L231" i="63"/>
  <c r="L230" i="63"/>
  <c r="L229" i="63"/>
  <c r="L228" i="63"/>
  <c r="L227" i="63"/>
  <c r="L226" i="63"/>
  <c r="L225" i="63"/>
  <c r="L224" i="63"/>
  <c r="L223" i="63"/>
  <c r="L222" i="63"/>
  <c r="K222" i="63"/>
  <c r="L221" i="63"/>
  <c r="L220" i="63"/>
  <c r="L219" i="63"/>
  <c r="L218" i="63"/>
  <c r="L217" i="63"/>
  <c r="L216" i="63"/>
  <c r="L215" i="63"/>
  <c r="L214" i="63"/>
  <c r="L213" i="63"/>
  <c r="L212" i="63"/>
  <c r="K212" i="63"/>
  <c r="L211" i="63"/>
  <c r="L210" i="63"/>
  <c r="L209" i="63"/>
  <c r="L208" i="63"/>
  <c r="L207" i="63"/>
  <c r="L206" i="63"/>
  <c r="L205" i="63"/>
  <c r="L204" i="63"/>
  <c r="L203" i="63"/>
  <c r="L202" i="63"/>
  <c r="K202" i="63"/>
  <c r="L201" i="63"/>
  <c r="L200" i="63"/>
  <c r="L199" i="63"/>
  <c r="L198" i="63"/>
  <c r="L197" i="63"/>
  <c r="L196" i="63"/>
  <c r="L195" i="63"/>
  <c r="L194" i="63"/>
  <c r="L193" i="63"/>
  <c r="L192" i="63"/>
  <c r="K192" i="63"/>
  <c r="L191" i="63"/>
  <c r="L190" i="63"/>
  <c r="L189" i="63"/>
  <c r="L188" i="63"/>
  <c r="L187" i="63"/>
  <c r="L186" i="63"/>
  <c r="L185" i="63"/>
  <c r="L184" i="63"/>
  <c r="L183" i="63"/>
  <c r="L182" i="63"/>
  <c r="K182" i="63"/>
  <c r="L181" i="63"/>
  <c r="L180" i="63"/>
  <c r="L179" i="63"/>
  <c r="L178" i="63"/>
  <c r="L177" i="63"/>
  <c r="L176" i="63"/>
  <c r="L175" i="63"/>
  <c r="L174" i="63"/>
  <c r="L173" i="63"/>
  <c r="L172" i="63"/>
  <c r="K172" i="63"/>
  <c r="L171" i="63"/>
  <c r="L170" i="63"/>
  <c r="L169" i="63"/>
  <c r="L168" i="63"/>
  <c r="L167" i="63"/>
  <c r="L166" i="63"/>
  <c r="L165" i="63"/>
  <c r="L164" i="63"/>
  <c r="L163" i="63"/>
  <c r="L162" i="63"/>
  <c r="K162" i="63"/>
  <c r="L161" i="63"/>
  <c r="L160" i="63"/>
  <c r="L159" i="63"/>
  <c r="L158" i="63"/>
  <c r="L157" i="63"/>
  <c r="L156" i="63"/>
  <c r="L155" i="63"/>
  <c r="L154" i="63"/>
  <c r="L153" i="63"/>
  <c r="L152" i="63"/>
  <c r="K152" i="63"/>
  <c r="L151" i="63"/>
  <c r="L150" i="63"/>
  <c r="L149" i="63"/>
  <c r="L148" i="63"/>
  <c r="L147" i="63"/>
  <c r="L146" i="63"/>
  <c r="L145" i="63"/>
  <c r="L144" i="63"/>
  <c r="L143" i="63"/>
  <c r="L142" i="63"/>
  <c r="K142" i="63"/>
  <c r="L141" i="63"/>
  <c r="L140" i="63"/>
  <c r="L139" i="63"/>
  <c r="L138" i="63"/>
  <c r="L137" i="63"/>
  <c r="L136" i="63"/>
  <c r="L135" i="63"/>
  <c r="L134" i="63"/>
  <c r="L133" i="63"/>
  <c r="L132" i="63"/>
  <c r="K132" i="63"/>
  <c r="L131" i="63"/>
  <c r="L130" i="63"/>
  <c r="L129" i="63"/>
  <c r="L128" i="63"/>
  <c r="L127" i="63"/>
  <c r="L126" i="63"/>
  <c r="L125" i="63"/>
  <c r="L124" i="63"/>
  <c r="L123" i="63"/>
  <c r="L122" i="63"/>
  <c r="K122" i="63"/>
  <c r="L121" i="63"/>
  <c r="L120" i="63"/>
  <c r="L119" i="63"/>
  <c r="L118" i="63"/>
  <c r="L117" i="63"/>
  <c r="L116" i="63"/>
  <c r="L115" i="63"/>
  <c r="L114" i="63"/>
  <c r="L113" i="63"/>
  <c r="L112" i="63"/>
  <c r="K112" i="63"/>
  <c r="L111" i="63"/>
  <c r="L110" i="63"/>
  <c r="L109" i="63"/>
  <c r="L108" i="63"/>
  <c r="L107" i="63"/>
  <c r="L106" i="63"/>
  <c r="L105" i="63"/>
  <c r="L104" i="63"/>
  <c r="L103" i="63"/>
  <c r="L102" i="63"/>
  <c r="K102" i="63"/>
  <c r="L101" i="63"/>
  <c r="L100" i="63"/>
  <c r="L99" i="63"/>
  <c r="L98" i="63"/>
  <c r="L97" i="63"/>
  <c r="L96" i="63"/>
  <c r="L95" i="63"/>
  <c r="L94" i="63"/>
  <c r="L93" i="63"/>
  <c r="L92" i="63"/>
  <c r="K92" i="63"/>
  <c r="L91" i="63"/>
  <c r="L90" i="63"/>
  <c r="L89" i="63"/>
  <c r="L88" i="63"/>
  <c r="L87" i="63"/>
  <c r="L86" i="63"/>
  <c r="L85" i="63"/>
  <c r="L84" i="63"/>
  <c r="L83" i="63"/>
  <c r="L82" i="63"/>
  <c r="K82" i="63"/>
  <c r="L81" i="63"/>
  <c r="L80" i="63"/>
  <c r="L79" i="63"/>
  <c r="L78" i="63"/>
  <c r="L77" i="63"/>
  <c r="L76" i="63"/>
  <c r="L75" i="63"/>
  <c r="L74" i="63"/>
  <c r="L73" i="63"/>
  <c r="L72" i="63"/>
  <c r="K72" i="63"/>
  <c r="L71" i="63"/>
  <c r="L70" i="63"/>
  <c r="L69" i="63"/>
  <c r="L68" i="63"/>
  <c r="L67" i="63"/>
  <c r="L66" i="63"/>
  <c r="L65" i="63"/>
  <c r="L64" i="63"/>
  <c r="L63" i="63"/>
  <c r="L62" i="63"/>
  <c r="K62" i="63"/>
  <c r="L61" i="63"/>
  <c r="L60" i="63"/>
  <c r="L59" i="63"/>
  <c r="L58" i="63"/>
  <c r="L57" i="63"/>
  <c r="L56" i="63"/>
  <c r="L55" i="63"/>
  <c r="L54" i="63"/>
  <c r="L53" i="63"/>
  <c r="L52" i="63"/>
  <c r="K52" i="63"/>
  <c r="L51" i="63"/>
  <c r="L50" i="63"/>
  <c r="L49" i="63"/>
  <c r="L48" i="63"/>
  <c r="L47" i="63"/>
  <c r="L46" i="63"/>
  <c r="L45" i="63"/>
  <c r="L44" i="63"/>
  <c r="L43" i="63"/>
  <c r="L42" i="63"/>
  <c r="K42" i="63"/>
  <c r="L41" i="63"/>
  <c r="L40" i="63"/>
  <c r="L39" i="63"/>
  <c r="L38" i="63"/>
  <c r="L37" i="63"/>
  <c r="L36" i="63"/>
  <c r="L35" i="63"/>
  <c r="L34" i="63"/>
  <c r="L33" i="63"/>
  <c r="L32" i="63"/>
  <c r="K32" i="63"/>
  <c r="L31" i="63"/>
  <c r="L30" i="63"/>
  <c r="L29" i="63"/>
  <c r="L28" i="63"/>
  <c r="L27" i="63"/>
  <c r="L26" i="63"/>
  <c r="L25" i="63"/>
  <c r="L24" i="63"/>
  <c r="L23" i="63"/>
  <c r="L22" i="63"/>
  <c r="K22" i="63"/>
  <c r="L21" i="63"/>
  <c r="L20" i="63"/>
  <c r="L19" i="63"/>
  <c r="L18" i="63"/>
  <c r="L17" i="63"/>
  <c r="L16" i="63"/>
  <c r="L15" i="63"/>
  <c r="L14" i="63"/>
  <c r="L13" i="63"/>
  <c r="L12" i="63"/>
  <c r="K12" i="63"/>
  <c r="L11" i="63"/>
  <c r="L10" i="63"/>
  <c r="L9" i="63"/>
  <c r="L8" i="63"/>
  <c r="L7" i="63"/>
  <c r="L6" i="63"/>
  <c r="L5" i="63"/>
  <c r="L4" i="63"/>
  <c r="L3" i="63"/>
  <c r="F323" i="59"/>
  <c r="E323" i="59"/>
  <c r="D323" i="59"/>
  <c r="J243" i="59"/>
  <c r="I243" i="59"/>
  <c r="H243" i="59"/>
  <c r="G243" i="59"/>
  <c r="F243" i="59"/>
  <c r="E243" i="59"/>
  <c r="D243" i="59"/>
  <c r="L242" i="59"/>
  <c r="K242" i="59"/>
  <c r="L241" i="59"/>
  <c r="L240" i="59"/>
  <c r="L239" i="59"/>
  <c r="L238" i="59"/>
  <c r="L237" i="59"/>
  <c r="L236" i="59"/>
  <c r="L235" i="59"/>
  <c r="L234" i="59"/>
  <c r="L233" i="59"/>
  <c r="L232" i="59"/>
  <c r="K232" i="59"/>
  <c r="L231" i="59"/>
  <c r="L230" i="59"/>
  <c r="L229" i="59"/>
  <c r="L228" i="59"/>
  <c r="L227" i="59"/>
  <c r="L226" i="59"/>
  <c r="L225" i="59"/>
  <c r="L224" i="59"/>
  <c r="L223" i="59"/>
  <c r="L222" i="59"/>
  <c r="K222" i="59"/>
  <c r="L221" i="59"/>
  <c r="L220" i="59"/>
  <c r="L219" i="59"/>
  <c r="L218" i="59"/>
  <c r="L217" i="59"/>
  <c r="L216" i="59"/>
  <c r="L215" i="59"/>
  <c r="L214" i="59"/>
  <c r="L213" i="59"/>
  <c r="L212" i="59"/>
  <c r="K212" i="59"/>
  <c r="L211" i="59"/>
  <c r="L210" i="59"/>
  <c r="L209" i="59"/>
  <c r="L208" i="59"/>
  <c r="L207" i="59"/>
  <c r="L206" i="59"/>
  <c r="L205" i="59"/>
  <c r="L204" i="59"/>
  <c r="L203" i="59"/>
  <c r="L202" i="59"/>
  <c r="K202" i="59"/>
  <c r="L201" i="59"/>
  <c r="L200" i="59"/>
  <c r="L199" i="59"/>
  <c r="L198" i="59"/>
  <c r="L197" i="59"/>
  <c r="L196" i="59"/>
  <c r="L195" i="59"/>
  <c r="L194" i="59"/>
  <c r="L193" i="59"/>
  <c r="L192" i="59"/>
  <c r="K192" i="59"/>
  <c r="L191" i="59"/>
  <c r="L190" i="59"/>
  <c r="L189" i="59"/>
  <c r="L188" i="59"/>
  <c r="L187" i="59"/>
  <c r="L186" i="59"/>
  <c r="L185" i="59"/>
  <c r="L184" i="59"/>
  <c r="L183" i="59"/>
  <c r="L182" i="59"/>
  <c r="K182" i="59"/>
  <c r="L181" i="59"/>
  <c r="L180" i="59"/>
  <c r="L179" i="59"/>
  <c r="L178" i="59"/>
  <c r="L177" i="59"/>
  <c r="L176" i="59"/>
  <c r="L175" i="59"/>
  <c r="L174" i="59"/>
  <c r="L173" i="59"/>
  <c r="L172" i="59"/>
  <c r="K172" i="59"/>
  <c r="L171" i="59"/>
  <c r="L170" i="59"/>
  <c r="L169" i="59"/>
  <c r="L168" i="59"/>
  <c r="L167" i="59"/>
  <c r="L166" i="59"/>
  <c r="L165" i="59"/>
  <c r="L164" i="59"/>
  <c r="L163" i="59"/>
  <c r="L162" i="59"/>
  <c r="K162" i="59"/>
  <c r="L161" i="59"/>
  <c r="L160" i="59"/>
  <c r="L159" i="59"/>
  <c r="L158" i="59"/>
  <c r="L157" i="59"/>
  <c r="L156" i="59"/>
  <c r="L155" i="59"/>
  <c r="L154" i="59"/>
  <c r="L153" i="59"/>
  <c r="L152" i="59"/>
  <c r="K152" i="59"/>
  <c r="L151" i="59"/>
  <c r="L150" i="59"/>
  <c r="L149" i="59"/>
  <c r="L148" i="59"/>
  <c r="L147" i="59"/>
  <c r="L146" i="59"/>
  <c r="L145" i="59"/>
  <c r="L144" i="59"/>
  <c r="L143" i="59"/>
  <c r="L142" i="59"/>
  <c r="K142" i="59"/>
  <c r="L141" i="59"/>
  <c r="L140" i="59"/>
  <c r="L139" i="59"/>
  <c r="L138" i="59"/>
  <c r="L137" i="59"/>
  <c r="L136" i="59"/>
  <c r="L135" i="59"/>
  <c r="L134" i="59"/>
  <c r="L133" i="59"/>
  <c r="L132" i="59"/>
  <c r="K132" i="59"/>
  <c r="L131" i="59"/>
  <c r="L130" i="59"/>
  <c r="L129" i="59"/>
  <c r="L128" i="59"/>
  <c r="L127" i="59"/>
  <c r="L126" i="59"/>
  <c r="L125" i="59"/>
  <c r="L124" i="59"/>
  <c r="L123" i="59"/>
  <c r="L122" i="59"/>
  <c r="K122" i="59"/>
  <c r="L121" i="59"/>
  <c r="L120" i="59"/>
  <c r="L119" i="59"/>
  <c r="L118" i="59"/>
  <c r="L117" i="59"/>
  <c r="L116" i="59"/>
  <c r="L115" i="59"/>
  <c r="L114" i="59"/>
  <c r="L113" i="59"/>
  <c r="L112" i="59"/>
  <c r="K112" i="59"/>
  <c r="L111" i="59"/>
  <c r="L110" i="59"/>
  <c r="L109" i="59"/>
  <c r="L108" i="59"/>
  <c r="L107" i="59"/>
  <c r="L106" i="59"/>
  <c r="L105" i="59"/>
  <c r="L104" i="59"/>
  <c r="L103" i="59"/>
  <c r="L102" i="59"/>
  <c r="K102" i="59"/>
  <c r="L101" i="59"/>
  <c r="L100" i="59"/>
  <c r="L99" i="59"/>
  <c r="L98" i="59"/>
  <c r="L97" i="59"/>
  <c r="L96" i="59"/>
  <c r="L95" i="59"/>
  <c r="L94" i="59"/>
  <c r="L93" i="59"/>
  <c r="L92" i="59"/>
  <c r="K92" i="59"/>
  <c r="L91" i="59"/>
  <c r="L90" i="59"/>
  <c r="L89" i="59"/>
  <c r="L88" i="59"/>
  <c r="L87" i="59"/>
  <c r="L86" i="59"/>
  <c r="L85" i="59"/>
  <c r="L84" i="59"/>
  <c r="L83" i="59"/>
  <c r="L82" i="59"/>
  <c r="K82" i="59"/>
  <c r="L81" i="59"/>
  <c r="L80" i="59"/>
  <c r="L79" i="59"/>
  <c r="L78" i="59"/>
  <c r="L77" i="59"/>
  <c r="L76" i="59"/>
  <c r="L75" i="59"/>
  <c r="L74" i="59"/>
  <c r="L73" i="59"/>
  <c r="L72" i="59"/>
  <c r="K72" i="59"/>
  <c r="L71" i="59"/>
  <c r="L70" i="59"/>
  <c r="L69" i="59"/>
  <c r="L68" i="59"/>
  <c r="L67" i="59"/>
  <c r="L66" i="59"/>
  <c r="L65" i="59"/>
  <c r="L64" i="59"/>
  <c r="L63" i="59"/>
  <c r="L62" i="59"/>
  <c r="K62" i="59"/>
  <c r="L61" i="59"/>
  <c r="L60" i="59"/>
  <c r="L59" i="59"/>
  <c r="L58" i="59"/>
  <c r="L57" i="59"/>
  <c r="L56" i="59"/>
  <c r="L55" i="59"/>
  <c r="L54" i="59"/>
  <c r="L53" i="59"/>
  <c r="L52" i="59"/>
  <c r="K52" i="59"/>
  <c r="L51" i="59"/>
  <c r="L50" i="59"/>
  <c r="L49" i="59"/>
  <c r="L48" i="59"/>
  <c r="L47" i="59"/>
  <c r="L46" i="59"/>
  <c r="L45" i="59"/>
  <c r="L44" i="59"/>
  <c r="L43" i="59"/>
  <c r="L42" i="59"/>
  <c r="K42" i="59"/>
  <c r="L41" i="59"/>
  <c r="L40" i="59"/>
  <c r="L39" i="59"/>
  <c r="L38" i="59"/>
  <c r="L37" i="59"/>
  <c r="L36" i="59"/>
  <c r="L35" i="59"/>
  <c r="L34" i="59"/>
  <c r="L33" i="59"/>
  <c r="L32" i="59"/>
  <c r="K32" i="59"/>
  <c r="L31" i="59"/>
  <c r="L30" i="59"/>
  <c r="L29" i="59"/>
  <c r="L28" i="59"/>
  <c r="L27" i="59"/>
  <c r="L26" i="59"/>
  <c r="L25" i="59"/>
  <c r="L24" i="59"/>
  <c r="L23" i="59"/>
  <c r="L22" i="59"/>
  <c r="K22" i="59"/>
  <c r="L21" i="59"/>
  <c r="L20" i="59"/>
  <c r="L19" i="59"/>
  <c r="L18" i="59"/>
  <c r="L17" i="59"/>
  <c r="L16" i="59"/>
  <c r="L15" i="59"/>
  <c r="L14" i="59"/>
  <c r="L13" i="59"/>
  <c r="L12" i="59"/>
  <c r="K12" i="59"/>
  <c r="L11" i="59"/>
  <c r="L10" i="59"/>
  <c r="L9" i="59"/>
  <c r="L8" i="59"/>
  <c r="L7" i="59"/>
  <c r="L6" i="59"/>
  <c r="L5" i="59"/>
  <c r="L4" i="59"/>
  <c r="L3" i="59"/>
  <c r="D243" i="58"/>
  <c r="E243" i="58"/>
  <c r="F243" i="58"/>
  <c r="G243" i="58"/>
  <c r="H243" i="58"/>
  <c r="I243" i="58"/>
  <c r="J243" i="58"/>
  <c r="F323" i="58"/>
  <c r="E323" i="58"/>
  <c r="D323" i="58"/>
  <c r="L242" i="58"/>
  <c r="K242" i="58"/>
  <c r="L241" i="58"/>
  <c r="L240" i="58"/>
  <c r="L239" i="58"/>
  <c r="L238" i="58"/>
  <c r="L237" i="58"/>
  <c r="L236" i="58"/>
  <c r="L235" i="58"/>
  <c r="L234" i="58"/>
  <c r="L233" i="58"/>
  <c r="L232" i="58"/>
  <c r="K232" i="58"/>
  <c r="L231" i="58"/>
  <c r="L230" i="58"/>
  <c r="L229" i="58"/>
  <c r="L228" i="58"/>
  <c r="L227" i="58"/>
  <c r="L226" i="58"/>
  <c r="L225" i="58"/>
  <c r="L224" i="58"/>
  <c r="L223" i="58"/>
  <c r="L222" i="58"/>
  <c r="K222" i="58"/>
  <c r="L221" i="58"/>
  <c r="L220" i="58"/>
  <c r="L219" i="58"/>
  <c r="L218" i="58"/>
  <c r="L217" i="58"/>
  <c r="L216" i="58"/>
  <c r="L215" i="58"/>
  <c r="L214" i="58"/>
  <c r="L213" i="58"/>
  <c r="L212" i="58"/>
  <c r="K212" i="58"/>
  <c r="L211" i="58"/>
  <c r="L210" i="58"/>
  <c r="L209" i="58"/>
  <c r="L208" i="58"/>
  <c r="L207" i="58"/>
  <c r="L206" i="58"/>
  <c r="L205" i="58"/>
  <c r="L204" i="58"/>
  <c r="L203" i="58"/>
  <c r="L202" i="58"/>
  <c r="K202" i="58"/>
  <c r="L201" i="58"/>
  <c r="L200" i="58"/>
  <c r="L199" i="58"/>
  <c r="L198" i="58"/>
  <c r="L197" i="58"/>
  <c r="L196" i="58"/>
  <c r="L195" i="58"/>
  <c r="L194" i="58"/>
  <c r="L193" i="58"/>
  <c r="L192" i="58"/>
  <c r="K192" i="58"/>
  <c r="L191" i="58"/>
  <c r="L190" i="58"/>
  <c r="L189" i="58"/>
  <c r="L188" i="58"/>
  <c r="L187" i="58"/>
  <c r="L186" i="58"/>
  <c r="L185" i="58"/>
  <c r="L184" i="58"/>
  <c r="L183" i="58"/>
  <c r="L182" i="58"/>
  <c r="K182" i="58"/>
  <c r="L181" i="58"/>
  <c r="L180" i="58"/>
  <c r="L179" i="58"/>
  <c r="L178" i="58"/>
  <c r="L177" i="58"/>
  <c r="L176" i="58"/>
  <c r="L175" i="58"/>
  <c r="L174" i="58"/>
  <c r="L173" i="58"/>
  <c r="L172" i="58"/>
  <c r="K172" i="58"/>
  <c r="L171" i="58"/>
  <c r="L170" i="58"/>
  <c r="L169" i="58"/>
  <c r="L168" i="58"/>
  <c r="L167" i="58"/>
  <c r="L166" i="58"/>
  <c r="L165" i="58"/>
  <c r="L164" i="58"/>
  <c r="L163" i="58"/>
  <c r="L162" i="58"/>
  <c r="K162" i="58"/>
  <c r="L161" i="58"/>
  <c r="L160" i="58"/>
  <c r="L159" i="58"/>
  <c r="L158" i="58"/>
  <c r="L157" i="58"/>
  <c r="L156" i="58"/>
  <c r="L155" i="58"/>
  <c r="L154" i="58"/>
  <c r="L153" i="58"/>
  <c r="L152" i="58"/>
  <c r="K152" i="58"/>
  <c r="L151" i="58"/>
  <c r="L150" i="58"/>
  <c r="L149" i="58"/>
  <c r="L148" i="58"/>
  <c r="L147" i="58"/>
  <c r="L146" i="58"/>
  <c r="L145" i="58"/>
  <c r="L144" i="58"/>
  <c r="L143" i="58"/>
  <c r="L142" i="58"/>
  <c r="K142" i="58"/>
  <c r="L141" i="58"/>
  <c r="L140" i="58"/>
  <c r="L139" i="58"/>
  <c r="L138" i="58"/>
  <c r="L137" i="58"/>
  <c r="L136" i="58"/>
  <c r="L135" i="58"/>
  <c r="L134" i="58"/>
  <c r="L133" i="58"/>
  <c r="L132" i="58"/>
  <c r="K132" i="58"/>
  <c r="L131" i="58"/>
  <c r="L130" i="58"/>
  <c r="L129" i="58"/>
  <c r="L128" i="58"/>
  <c r="L127" i="58"/>
  <c r="L126" i="58"/>
  <c r="L125" i="58"/>
  <c r="L124" i="58"/>
  <c r="L123" i="58"/>
  <c r="L122" i="58"/>
  <c r="K122" i="58"/>
  <c r="L121" i="58"/>
  <c r="L120" i="58"/>
  <c r="L119" i="58"/>
  <c r="L118" i="58"/>
  <c r="L117" i="58"/>
  <c r="L116" i="58"/>
  <c r="L115" i="58"/>
  <c r="L114" i="58"/>
  <c r="L113" i="58"/>
  <c r="L112" i="58"/>
  <c r="K112" i="58"/>
  <c r="L111" i="58"/>
  <c r="L110" i="58"/>
  <c r="L109" i="58"/>
  <c r="L108" i="58"/>
  <c r="L107" i="58"/>
  <c r="L106" i="58"/>
  <c r="L105" i="58"/>
  <c r="L104" i="58"/>
  <c r="L103" i="58"/>
  <c r="L102" i="58"/>
  <c r="K102" i="58"/>
  <c r="L101" i="58"/>
  <c r="L100" i="58"/>
  <c r="L99" i="58"/>
  <c r="L98" i="58"/>
  <c r="L97" i="58"/>
  <c r="L96" i="58"/>
  <c r="L95" i="58"/>
  <c r="L94" i="58"/>
  <c r="L93" i="58"/>
  <c r="L92" i="58"/>
  <c r="K92" i="58"/>
  <c r="L91" i="58"/>
  <c r="L90" i="58"/>
  <c r="L89" i="58"/>
  <c r="L88" i="58"/>
  <c r="L87" i="58"/>
  <c r="L86" i="58"/>
  <c r="L85" i="58"/>
  <c r="L84" i="58"/>
  <c r="L83" i="58"/>
  <c r="L82" i="58"/>
  <c r="K82" i="58"/>
  <c r="L81" i="58"/>
  <c r="L80" i="58"/>
  <c r="L79" i="58"/>
  <c r="L78" i="58"/>
  <c r="L77" i="58"/>
  <c r="L76" i="58"/>
  <c r="L75" i="58"/>
  <c r="L74" i="58"/>
  <c r="L73" i="58"/>
  <c r="L72" i="58"/>
  <c r="K72" i="58"/>
  <c r="L71" i="58"/>
  <c r="L70" i="58"/>
  <c r="L69" i="58"/>
  <c r="L68" i="58"/>
  <c r="L67" i="58"/>
  <c r="L66" i="58"/>
  <c r="L65" i="58"/>
  <c r="L64" i="58"/>
  <c r="L63" i="58"/>
  <c r="L62" i="58"/>
  <c r="K62" i="58"/>
  <c r="L61" i="58"/>
  <c r="L60" i="58"/>
  <c r="L59" i="58"/>
  <c r="L58" i="58"/>
  <c r="L57" i="58"/>
  <c r="L56" i="58"/>
  <c r="L55" i="58"/>
  <c r="L54" i="58"/>
  <c r="L53" i="58"/>
  <c r="L52" i="58"/>
  <c r="K52" i="58"/>
  <c r="L51" i="58"/>
  <c r="L50" i="58"/>
  <c r="L49" i="58"/>
  <c r="L48" i="58"/>
  <c r="L47" i="58"/>
  <c r="L46" i="58"/>
  <c r="L45" i="58"/>
  <c r="L44" i="58"/>
  <c r="L43" i="58"/>
  <c r="L42" i="58"/>
  <c r="K42" i="58"/>
  <c r="L41" i="58"/>
  <c r="L40" i="58"/>
  <c r="L39" i="58"/>
  <c r="L38" i="58"/>
  <c r="L37" i="58"/>
  <c r="L36" i="58"/>
  <c r="L35" i="58"/>
  <c r="L34" i="58"/>
  <c r="L33" i="58"/>
  <c r="L32" i="58"/>
  <c r="K32" i="58"/>
  <c r="L31" i="58"/>
  <c r="L30" i="58"/>
  <c r="L29" i="58"/>
  <c r="L28" i="58"/>
  <c r="L27" i="58"/>
  <c r="L26" i="58"/>
  <c r="L25" i="58"/>
  <c r="L24" i="58"/>
  <c r="L23" i="58"/>
  <c r="L22" i="58"/>
  <c r="K22" i="58"/>
  <c r="L21" i="58"/>
  <c r="L20" i="58"/>
  <c r="L19" i="58"/>
  <c r="L18" i="58"/>
  <c r="L17" i="58"/>
  <c r="L16" i="58"/>
  <c r="L15" i="58"/>
  <c r="L14" i="58"/>
  <c r="L13" i="58"/>
  <c r="L12" i="58"/>
  <c r="K12" i="58"/>
  <c r="L11" i="58"/>
  <c r="L10" i="58"/>
  <c r="L9" i="58"/>
  <c r="L8" i="58"/>
  <c r="L7" i="58"/>
  <c r="L6" i="58"/>
  <c r="L5" i="58"/>
  <c r="L4" i="58"/>
  <c r="L3" i="58"/>
  <c r="E243" i="51"/>
  <c r="F243" i="51"/>
  <c r="G243" i="51"/>
  <c r="H243" i="51"/>
  <c r="I243" i="51"/>
  <c r="J243" i="51"/>
  <c r="G243" i="57"/>
  <c r="E243" i="57"/>
  <c r="F243" i="57"/>
  <c r="H243" i="57"/>
  <c r="I243" i="57"/>
  <c r="J243" i="57"/>
  <c r="F323" i="57"/>
  <c r="E323" i="57"/>
  <c r="D323" i="57"/>
  <c r="D243" i="57"/>
  <c r="L242" i="57"/>
  <c r="K242" i="57"/>
  <c r="L241" i="57"/>
  <c r="L240" i="57"/>
  <c r="L239" i="57"/>
  <c r="L238" i="57"/>
  <c r="L237" i="57"/>
  <c r="L236" i="57"/>
  <c r="L235" i="57"/>
  <c r="L234" i="57"/>
  <c r="L233" i="57"/>
  <c r="L232" i="57"/>
  <c r="K232" i="57"/>
  <c r="L231" i="57"/>
  <c r="L230" i="57"/>
  <c r="L229" i="57"/>
  <c r="L228" i="57"/>
  <c r="L227" i="57"/>
  <c r="L226" i="57"/>
  <c r="L225" i="57"/>
  <c r="L224" i="57"/>
  <c r="L223" i="57"/>
  <c r="L222" i="57"/>
  <c r="K222" i="57"/>
  <c r="L221" i="57"/>
  <c r="L220" i="57"/>
  <c r="L219" i="57"/>
  <c r="L218" i="57"/>
  <c r="L217" i="57"/>
  <c r="L216" i="57"/>
  <c r="L215" i="57"/>
  <c r="L214" i="57"/>
  <c r="L213" i="57"/>
  <c r="L212" i="57"/>
  <c r="K212" i="57"/>
  <c r="L211" i="57"/>
  <c r="L210" i="57"/>
  <c r="L209" i="57"/>
  <c r="L208" i="57"/>
  <c r="L207" i="57"/>
  <c r="L206" i="57"/>
  <c r="L205" i="57"/>
  <c r="L204" i="57"/>
  <c r="L203" i="57"/>
  <c r="L202" i="57"/>
  <c r="K202" i="57"/>
  <c r="L201" i="57"/>
  <c r="L200" i="57"/>
  <c r="L199" i="57"/>
  <c r="L198" i="57"/>
  <c r="L197" i="57"/>
  <c r="L196" i="57"/>
  <c r="L195" i="57"/>
  <c r="L194" i="57"/>
  <c r="L193" i="57"/>
  <c r="L192" i="57"/>
  <c r="K192" i="57"/>
  <c r="L191" i="57"/>
  <c r="L190" i="57"/>
  <c r="L189" i="57"/>
  <c r="L188" i="57"/>
  <c r="L187" i="57"/>
  <c r="L186" i="57"/>
  <c r="L185" i="57"/>
  <c r="L184" i="57"/>
  <c r="L183" i="57"/>
  <c r="L182" i="57"/>
  <c r="K182" i="57"/>
  <c r="L181" i="57"/>
  <c r="L180" i="57"/>
  <c r="L179" i="57"/>
  <c r="L178" i="57"/>
  <c r="L177" i="57"/>
  <c r="L176" i="57"/>
  <c r="L175" i="57"/>
  <c r="L174" i="57"/>
  <c r="L173" i="57"/>
  <c r="L172" i="57"/>
  <c r="K172" i="57"/>
  <c r="L171" i="57"/>
  <c r="L170" i="57"/>
  <c r="L169" i="57"/>
  <c r="L168" i="57"/>
  <c r="L167" i="57"/>
  <c r="L166" i="57"/>
  <c r="L165" i="57"/>
  <c r="L164" i="57"/>
  <c r="L163" i="57"/>
  <c r="L162" i="57"/>
  <c r="K162" i="57"/>
  <c r="L161" i="57"/>
  <c r="L160" i="57"/>
  <c r="L159" i="57"/>
  <c r="L158" i="57"/>
  <c r="L157" i="57"/>
  <c r="L156" i="57"/>
  <c r="L155" i="57"/>
  <c r="L154" i="57"/>
  <c r="L153" i="57"/>
  <c r="L152" i="57"/>
  <c r="K152" i="57"/>
  <c r="L151" i="57"/>
  <c r="L150" i="57"/>
  <c r="L149" i="57"/>
  <c r="L148" i="57"/>
  <c r="L147" i="57"/>
  <c r="L146" i="57"/>
  <c r="L145" i="57"/>
  <c r="L144" i="57"/>
  <c r="L143" i="57"/>
  <c r="L142" i="57"/>
  <c r="K142" i="57"/>
  <c r="L141" i="57"/>
  <c r="L140" i="57"/>
  <c r="L139" i="57"/>
  <c r="L138" i="57"/>
  <c r="L137" i="57"/>
  <c r="L136" i="57"/>
  <c r="L135" i="57"/>
  <c r="L134" i="57"/>
  <c r="L133" i="57"/>
  <c r="L132" i="57"/>
  <c r="K132" i="57"/>
  <c r="L131" i="57"/>
  <c r="L130" i="57"/>
  <c r="L129" i="57"/>
  <c r="L128" i="57"/>
  <c r="L127" i="57"/>
  <c r="L126" i="57"/>
  <c r="L125" i="57"/>
  <c r="L124" i="57"/>
  <c r="L123" i="57"/>
  <c r="L122" i="57"/>
  <c r="K122" i="57"/>
  <c r="L121" i="57"/>
  <c r="L120" i="57"/>
  <c r="L119" i="57"/>
  <c r="L118" i="57"/>
  <c r="L117" i="57"/>
  <c r="L116" i="57"/>
  <c r="L115" i="57"/>
  <c r="L114" i="57"/>
  <c r="L113" i="57"/>
  <c r="L112" i="57"/>
  <c r="K112" i="57"/>
  <c r="L111" i="57"/>
  <c r="L110" i="57"/>
  <c r="L109" i="57"/>
  <c r="L108" i="57"/>
  <c r="L107" i="57"/>
  <c r="L106" i="57"/>
  <c r="L105" i="57"/>
  <c r="L104" i="57"/>
  <c r="L103" i="57"/>
  <c r="L102" i="57"/>
  <c r="K102" i="57"/>
  <c r="L101" i="57"/>
  <c r="L100" i="57"/>
  <c r="L99" i="57"/>
  <c r="L98" i="57"/>
  <c r="L97" i="57"/>
  <c r="L96" i="57"/>
  <c r="L95" i="57"/>
  <c r="L94" i="57"/>
  <c r="L93" i="57"/>
  <c r="L92" i="57"/>
  <c r="K92" i="57"/>
  <c r="L91" i="57"/>
  <c r="L90" i="57"/>
  <c r="L89" i="57"/>
  <c r="L88" i="57"/>
  <c r="L87" i="57"/>
  <c r="L86" i="57"/>
  <c r="L85" i="57"/>
  <c r="L84" i="57"/>
  <c r="L83" i="57"/>
  <c r="L82" i="57"/>
  <c r="K82" i="57"/>
  <c r="L81" i="57"/>
  <c r="L80" i="57"/>
  <c r="L79" i="57"/>
  <c r="L78" i="57"/>
  <c r="L77" i="57"/>
  <c r="L76" i="57"/>
  <c r="L75" i="57"/>
  <c r="L74" i="57"/>
  <c r="L73" i="57"/>
  <c r="L72" i="57"/>
  <c r="K72" i="57"/>
  <c r="L71" i="57"/>
  <c r="L70" i="57"/>
  <c r="L69" i="57"/>
  <c r="L68" i="57"/>
  <c r="L67" i="57"/>
  <c r="L66" i="57"/>
  <c r="L65" i="57"/>
  <c r="L64" i="57"/>
  <c r="L63" i="57"/>
  <c r="L62" i="57"/>
  <c r="K62" i="57"/>
  <c r="L61" i="57"/>
  <c r="L60" i="57"/>
  <c r="L59" i="57"/>
  <c r="L58" i="57"/>
  <c r="L57" i="57"/>
  <c r="L56" i="57"/>
  <c r="L55" i="57"/>
  <c r="L54" i="57"/>
  <c r="L53" i="57"/>
  <c r="L52" i="57"/>
  <c r="K52" i="57"/>
  <c r="L51" i="57"/>
  <c r="L50" i="57"/>
  <c r="L49" i="57"/>
  <c r="L48" i="57"/>
  <c r="L47" i="57"/>
  <c r="L46" i="57"/>
  <c r="L45" i="57"/>
  <c r="L44" i="57"/>
  <c r="L43" i="57"/>
  <c r="L42" i="57"/>
  <c r="K42" i="57"/>
  <c r="L41" i="57"/>
  <c r="L40" i="57"/>
  <c r="L39" i="57"/>
  <c r="L38" i="57"/>
  <c r="L37" i="57"/>
  <c r="L36" i="57"/>
  <c r="L35" i="57"/>
  <c r="L34" i="57"/>
  <c r="L33" i="57"/>
  <c r="L32" i="57"/>
  <c r="K32" i="57"/>
  <c r="L31" i="57"/>
  <c r="L30" i="57"/>
  <c r="L29" i="57"/>
  <c r="L28" i="57"/>
  <c r="L27" i="57"/>
  <c r="L26" i="57"/>
  <c r="L25" i="57"/>
  <c r="L24" i="57"/>
  <c r="L23" i="57"/>
  <c r="L22" i="57"/>
  <c r="K22" i="57"/>
  <c r="L21" i="57"/>
  <c r="L20" i="57"/>
  <c r="L19" i="57"/>
  <c r="L18" i="57"/>
  <c r="L17" i="57"/>
  <c r="L16" i="57"/>
  <c r="L15" i="57"/>
  <c r="L14" i="57"/>
  <c r="L13" i="57"/>
  <c r="L12" i="57"/>
  <c r="K12" i="57"/>
  <c r="L11" i="57"/>
  <c r="L10" i="57"/>
  <c r="L9" i="57"/>
  <c r="L8" i="57"/>
  <c r="L7" i="57"/>
  <c r="L6" i="57"/>
  <c r="L5" i="57"/>
  <c r="L4" i="57"/>
  <c r="L3" i="57"/>
  <c r="N222" i="51"/>
  <c r="N22" i="51"/>
  <c r="N32" i="51"/>
  <c r="N42" i="51"/>
  <c r="N52" i="51"/>
  <c r="N62" i="51"/>
  <c r="N72" i="51"/>
  <c r="N82" i="51"/>
  <c r="N92" i="51"/>
  <c r="N102" i="51"/>
  <c r="N112" i="51"/>
  <c r="N122" i="51"/>
  <c r="N132" i="51"/>
  <c r="N142" i="51"/>
  <c r="N152" i="51"/>
  <c r="N162" i="51"/>
  <c r="N172" i="51"/>
  <c r="N182" i="51"/>
  <c r="N192" i="51"/>
  <c r="N202" i="51"/>
  <c r="N212" i="51"/>
  <c r="N232" i="51"/>
  <c r="N242" i="51"/>
  <c r="N12" i="51"/>
  <c r="R4" i="51"/>
  <c r="R5" i="51"/>
  <c r="R6" i="51"/>
  <c r="R7" i="51"/>
  <c r="R8" i="51"/>
  <c r="R9" i="51"/>
  <c r="R10" i="51"/>
  <c r="R11" i="51"/>
  <c r="R12" i="51"/>
  <c r="R13" i="51"/>
  <c r="R14" i="51"/>
  <c r="R15" i="51"/>
  <c r="R16" i="51"/>
  <c r="R17" i="51"/>
  <c r="R18" i="51"/>
  <c r="R19" i="51"/>
  <c r="R20" i="51"/>
  <c r="R21" i="51"/>
  <c r="R22" i="51"/>
  <c r="R23" i="51"/>
  <c r="R24" i="51"/>
  <c r="R25" i="51"/>
  <c r="R26" i="51"/>
  <c r="R27" i="51"/>
  <c r="R28" i="51"/>
  <c r="R29" i="51"/>
  <c r="R30" i="51"/>
  <c r="R31" i="51"/>
  <c r="R32" i="51"/>
  <c r="R33" i="51"/>
  <c r="R34" i="51"/>
  <c r="R35" i="51"/>
  <c r="R36" i="51"/>
  <c r="R37" i="51"/>
  <c r="R38" i="51"/>
  <c r="R39" i="51"/>
  <c r="R40" i="51"/>
  <c r="R41" i="51"/>
  <c r="R42" i="51"/>
  <c r="R43" i="51"/>
  <c r="R44" i="51"/>
  <c r="R45" i="51"/>
  <c r="R46" i="51"/>
  <c r="R47" i="51"/>
  <c r="R48" i="51"/>
  <c r="R49" i="51"/>
  <c r="R50" i="51"/>
  <c r="R51" i="51"/>
  <c r="R52" i="51"/>
  <c r="R53" i="51"/>
  <c r="R54" i="51"/>
  <c r="R55" i="51"/>
  <c r="R56" i="51"/>
  <c r="R57" i="51"/>
  <c r="R58" i="51"/>
  <c r="R59" i="51"/>
  <c r="R60" i="51"/>
  <c r="R61" i="51"/>
  <c r="R62" i="51"/>
  <c r="R63" i="51"/>
  <c r="R64" i="51"/>
  <c r="R65" i="51"/>
  <c r="R66" i="51"/>
  <c r="R67" i="51"/>
  <c r="R68" i="51"/>
  <c r="R69" i="51"/>
  <c r="R70" i="51"/>
  <c r="R71" i="51"/>
  <c r="R72" i="51"/>
  <c r="R73" i="51"/>
  <c r="R74" i="51"/>
  <c r="R75" i="51"/>
  <c r="R76" i="51"/>
  <c r="R77" i="51"/>
  <c r="R78" i="51"/>
  <c r="R79" i="51"/>
  <c r="R80" i="51"/>
  <c r="R81" i="51"/>
  <c r="R82" i="51"/>
  <c r="R83" i="51"/>
  <c r="R84" i="51"/>
  <c r="R85" i="51"/>
  <c r="R86" i="51"/>
  <c r="R87" i="51"/>
  <c r="R88" i="51"/>
  <c r="R89" i="51"/>
  <c r="R90" i="51"/>
  <c r="R91" i="51"/>
  <c r="R92" i="51"/>
  <c r="R93" i="51"/>
  <c r="R94" i="51"/>
  <c r="R95" i="51"/>
  <c r="R96" i="51"/>
  <c r="R97" i="51"/>
  <c r="R98" i="51"/>
  <c r="R99" i="51"/>
  <c r="R100" i="51"/>
  <c r="R101" i="51"/>
  <c r="R102" i="51"/>
  <c r="R103" i="51"/>
  <c r="R104" i="51"/>
  <c r="R105" i="51"/>
  <c r="R106" i="51"/>
  <c r="R107" i="51"/>
  <c r="R108" i="51"/>
  <c r="R109" i="51"/>
  <c r="R110" i="51"/>
  <c r="R111" i="51"/>
  <c r="R112" i="51"/>
  <c r="R113" i="51"/>
  <c r="R114" i="51"/>
  <c r="R115" i="51"/>
  <c r="R116" i="51"/>
  <c r="R117" i="51"/>
  <c r="R118" i="51"/>
  <c r="R119" i="51"/>
  <c r="R120" i="51"/>
  <c r="R121" i="51"/>
  <c r="R122" i="51"/>
  <c r="R123" i="51"/>
  <c r="R124" i="51"/>
  <c r="R125" i="51"/>
  <c r="R126" i="51"/>
  <c r="R127" i="51"/>
  <c r="R128" i="51"/>
  <c r="R129" i="51"/>
  <c r="R130" i="51"/>
  <c r="R131" i="51"/>
  <c r="R132" i="51"/>
  <c r="R133" i="51"/>
  <c r="R134" i="51"/>
  <c r="R135" i="51"/>
  <c r="R136" i="51"/>
  <c r="R137" i="51"/>
  <c r="R138" i="51"/>
  <c r="R139" i="51"/>
  <c r="R140" i="51"/>
  <c r="R141" i="51"/>
  <c r="R142" i="51"/>
  <c r="R143" i="51"/>
  <c r="R144" i="51"/>
  <c r="R145" i="51"/>
  <c r="R146" i="51"/>
  <c r="R147" i="51"/>
  <c r="R148" i="51"/>
  <c r="R149" i="51"/>
  <c r="R150" i="51"/>
  <c r="R151" i="51"/>
  <c r="R152" i="51"/>
  <c r="R153" i="51"/>
  <c r="R154" i="51"/>
  <c r="R155" i="51"/>
  <c r="R156" i="51"/>
  <c r="R157" i="51"/>
  <c r="R158" i="51"/>
  <c r="R159" i="51"/>
  <c r="R160" i="51"/>
  <c r="R161" i="51"/>
  <c r="R162" i="51"/>
  <c r="R163" i="51"/>
  <c r="R164" i="51"/>
  <c r="R165" i="51"/>
  <c r="R166" i="51"/>
  <c r="R167" i="51"/>
  <c r="R168" i="51"/>
  <c r="R169" i="51"/>
  <c r="R170" i="51"/>
  <c r="R171" i="51"/>
  <c r="R172" i="51"/>
  <c r="R173" i="51"/>
  <c r="R174" i="51"/>
  <c r="R175" i="51"/>
  <c r="R176" i="51"/>
  <c r="R177" i="51"/>
  <c r="R178" i="51"/>
  <c r="R179" i="51"/>
  <c r="R180" i="51"/>
  <c r="R181" i="51"/>
  <c r="R182" i="51"/>
  <c r="R183" i="51"/>
  <c r="R184" i="51"/>
  <c r="R185" i="51"/>
  <c r="R186" i="51"/>
  <c r="R187" i="51"/>
  <c r="R188" i="51"/>
  <c r="R189" i="51"/>
  <c r="R190" i="51"/>
  <c r="R191" i="51"/>
  <c r="R192" i="51"/>
  <c r="R193" i="51"/>
  <c r="R194" i="51"/>
  <c r="R195" i="51"/>
  <c r="R196" i="51"/>
  <c r="R197" i="51"/>
  <c r="R198" i="51"/>
  <c r="R199" i="51"/>
  <c r="R200" i="51"/>
  <c r="R201" i="51"/>
  <c r="R202" i="51"/>
  <c r="R203" i="51"/>
  <c r="R204" i="51"/>
  <c r="R205" i="51"/>
  <c r="R206" i="51"/>
  <c r="R207" i="51"/>
  <c r="R208" i="51"/>
  <c r="R209" i="51"/>
  <c r="R210" i="51"/>
  <c r="R211" i="51"/>
  <c r="R212" i="51"/>
  <c r="R213" i="51"/>
  <c r="R214" i="51"/>
  <c r="R215" i="51"/>
  <c r="R216" i="51"/>
  <c r="R217" i="51"/>
  <c r="R218" i="51"/>
  <c r="R219" i="51"/>
  <c r="R220" i="51"/>
  <c r="R221" i="51"/>
  <c r="R222" i="51"/>
  <c r="R223" i="51"/>
  <c r="R224" i="51"/>
  <c r="R225" i="51"/>
  <c r="R226" i="51"/>
  <c r="R227" i="51"/>
  <c r="R228" i="51"/>
  <c r="R229" i="51"/>
  <c r="R230" i="51"/>
  <c r="R231" i="51"/>
  <c r="R232" i="51"/>
  <c r="R233" i="51"/>
  <c r="R234" i="51"/>
  <c r="R235" i="51"/>
  <c r="R236" i="51"/>
  <c r="R237" i="51"/>
  <c r="R238" i="51"/>
  <c r="R239" i="51"/>
  <c r="R240" i="51"/>
  <c r="R241" i="51"/>
  <c r="R242" i="51"/>
  <c r="Q3" i="51"/>
  <c r="P4" i="51"/>
  <c r="P5" i="51"/>
  <c r="P6" i="51"/>
  <c r="P7" i="51"/>
  <c r="P8" i="51"/>
  <c r="P9" i="51"/>
  <c r="P10" i="51"/>
  <c r="P11" i="51"/>
  <c r="P12" i="51"/>
  <c r="P13" i="51"/>
  <c r="P14" i="51"/>
  <c r="P15" i="51"/>
  <c r="P16" i="51"/>
  <c r="P17" i="51"/>
  <c r="P18" i="51"/>
  <c r="P19" i="51"/>
  <c r="P20" i="51"/>
  <c r="P21" i="51"/>
  <c r="P22" i="51"/>
  <c r="P23" i="51"/>
  <c r="P24" i="51"/>
  <c r="P25" i="51"/>
  <c r="P26" i="51"/>
  <c r="P27" i="51"/>
  <c r="P28" i="51"/>
  <c r="P29" i="51"/>
  <c r="P30" i="51"/>
  <c r="P31" i="51"/>
  <c r="P32" i="51"/>
  <c r="P33" i="51"/>
  <c r="P34" i="51"/>
  <c r="P35" i="51"/>
  <c r="P36" i="51"/>
  <c r="P37" i="51"/>
  <c r="P38" i="51"/>
  <c r="P39" i="51"/>
  <c r="P40" i="51"/>
  <c r="P41" i="51"/>
  <c r="P42" i="51"/>
  <c r="P43" i="51"/>
  <c r="P44" i="51"/>
  <c r="P45" i="51"/>
  <c r="P46" i="51"/>
  <c r="P47" i="51"/>
  <c r="P48" i="51"/>
  <c r="P49" i="51"/>
  <c r="P50" i="51"/>
  <c r="P51" i="51"/>
  <c r="P52" i="51"/>
  <c r="P53" i="51"/>
  <c r="P54" i="51"/>
  <c r="P55" i="51"/>
  <c r="P56" i="51"/>
  <c r="P57" i="51"/>
  <c r="P58" i="51"/>
  <c r="P59" i="51"/>
  <c r="P60" i="51"/>
  <c r="P61" i="51"/>
  <c r="P62" i="51"/>
  <c r="P63" i="51"/>
  <c r="P64" i="51"/>
  <c r="P65" i="51"/>
  <c r="P66" i="51"/>
  <c r="P67" i="51"/>
  <c r="P68" i="51"/>
  <c r="P69" i="51"/>
  <c r="P70" i="51"/>
  <c r="P71" i="51"/>
  <c r="P72" i="51"/>
  <c r="P73" i="51"/>
  <c r="P74" i="51"/>
  <c r="P75" i="51"/>
  <c r="P76" i="51"/>
  <c r="P77" i="51"/>
  <c r="P78" i="51"/>
  <c r="P79" i="51"/>
  <c r="P80" i="51"/>
  <c r="P81" i="51"/>
  <c r="P82" i="51"/>
  <c r="P83" i="51"/>
  <c r="P84" i="51"/>
  <c r="P85" i="51"/>
  <c r="P86" i="51"/>
  <c r="P87" i="51"/>
  <c r="P88" i="51"/>
  <c r="P89" i="51"/>
  <c r="P90" i="51"/>
  <c r="P91" i="51"/>
  <c r="P92" i="51"/>
  <c r="P93" i="51"/>
  <c r="P94" i="51"/>
  <c r="P95" i="51"/>
  <c r="P96" i="51"/>
  <c r="P97" i="51"/>
  <c r="P98" i="51"/>
  <c r="P99" i="51"/>
  <c r="P100" i="51"/>
  <c r="P101" i="51"/>
  <c r="P102" i="51"/>
  <c r="P103" i="51"/>
  <c r="P104" i="51"/>
  <c r="P105" i="51"/>
  <c r="P106" i="51"/>
  <c r="P107" i="51"/>
  <c r="P108" i="51"/>
  <c r="P109" i="51"/>
  <c r="P110" i="51"/>
  <c r="P111" i="51"/>
  <c r="P112" i="51"/>
  <c r="P113" i="51"/>
  <c r="P114" i="51"/>
  <c r="P115" i="51"/>
  <c r="P116" i="51"/>
  <c r="P117" i="51"/>
  <c r="P118" i="51"/>
  <c r="P119" i="51"/>
  <c r="P120" i="51"/>
  <c r="P121" i="51"/>
  <c r="P122" i="51"/>
  <c r="P123" i="51"/>
  <c r="P124" i="51"/>
  <c r="P125" i="51"/>
  <c r="P126" i="51"/>
  <c r="P127" i="51"/>
  <c r="P128" i="51"/>
  <c r="P129" i="51"/>
  <c r="P130" i="51"/>
  <c r="P131" i="51"/>
  <c r="P132" i="51"/>
  <c r="P133" i="51"/>
  <c r="P134" i="51"/>
  <c r="P135" i="51"/>
  <c r="P136" i="51"/>
  <c r="P137" i="51"/>
  <c r="P138" i="51"/>
  <c r="P139" i="51"/>
  <c r="P140" i="51"/>
  <c r="P141" i="51"/>
  <c r="P142" i="51"/>
  <c r="P143" i="51"/>
  <c r="P144" i="51"/>
  <c r="P145" i="51"/>
  <c r="P146" i="51"/>
  <c r="P147" i="51"/>
  <c r="P148" i="51"/>
  <c r="P149" i="51"/>
  <c r="P150" i="51"/>
  <c r="P151" i="51"/>
  <c r="P152" i="51"/>
  <c r="P153" i="51"/>
  <c r="P154" i="51"/>
  <c r="P155" i="51"/>
  <c r="P156" i="51"/>
  <c r="P157" i="51"/>
  <c r="P158" i="51"/>
  <c r="P159" i="51"/>
  <c r="P160" i="51"/>
  <c r="P161" i="51"/>
  <c r="P162" i="51"/>
  <c r="P163" i="51"/>
  <c r="P164" i="51"/>
  <c r="P165" i="51"/>
  <c r="P166" i="51"/>
  <c r="P167" i="51"/>
  <c r="P168" i="51"/>
  <c r="P169" i="51"/>
  <c r="P170" i="51"/>
  <c r="P171" i="51"/>
  <c r="P172" i="51"/>
  <c r="P173" i="51"/>
  <c r="P174" i="51"/>
  <c r="P175" i="51"/>
  <c r="P176" i="51"/>
  <c r="P177" i="51"/>
  <c r="P178" i="51"/>
  <c r="P179" i="51"/>
  <c r="P180" i="51"/>
  <c r="P181" i="51"/>
  <c r="P182" i="51"/>
  <c r="P183" i="51"/>
  <c r="P184" i="51"/>
  <c r="P185" i="51"/>
  <c r="P186" i="51"/>
  <c r="P187" i="51"/>
  <c r="P188" i="51"/>
  <c r="P189" i="51"/>
  <c r="P190" i="51"/>
  <c r="P191" i="51"/>
  <c r="P192" i="51"/>
  <c r="P193" i="51"/>
  <c r="P194" i="51"/>
  <c r="P195" i="51"/>
  <c r="P196" i="51"/>
  <c r="P197" i="51"/>
  <c r="P198" i="51"/>
  <c r="P199" i="51"/>
  <c r="P200" i="51"/>
  <c r="P201" i="51"/>
  <c r="P202" i="51"/>
  <c r="P203" i="51"/>
  <c r="P204" i="51"/>
  <c r="P205" i="51"/>
  <c r="P206" i="51"/>
  <c r="P207" i="51"/>
  <c r="P208" i="51"/>
  <c r="P209" i="51"/>
  <c r="P210" i="51"/>
  <c r="P211" i="51"/>
  <c r="P212" i="51"/>
  <c r="P213" i="51"/>
  <c r="P214" i="51"/>
  <c r="P215" i="51"/>
  <c r="P216" i="51"/>
  <c r="P217" i="51"/>
  <c r="P218" i="51"/>
  <c r="P219" i="51"/>
  <c r="P220" i="51"/>
  <c r="P221" i="51"/>
  <c r="P222" i="51"/>
  <c r="P223" i="51"/>
  <c r="P224" i="51"/>
  <c r="P225" i="51"/>
  <c r="P226" i="51"/>
  <c r="P227" i="51"/>
  <c r="P228" i="51"/>
  <c r="P229" i="51"/>
  <c r="P230" i="51"/>
  <c r="P231" i="51"/>
  <c r="P232" i="51"/>
  <c r="P233" i="51"/>
  <c r="P234" i="51"/>
  <c r="P235" i="51"/>
  <c r="P236" i="51"/>
  <c r="P237" i="51"/>
  <c r="P238" i="51"/>
  <c r="P239" i="51"/>
  <c r="P240" i="51"/>
  <c r="P241" i="51"/>
  <c r="P242" i="51"/>
  <c r="P3" i="51"/>
  <c r="R3" i="51" s="1"/>
  <c r="D323" i="51"/>
  <c r="E323" i="51"/>
  <c r="F323" i="51"/>
  <c r="Q4" i="51"/>
  <c r="Q5" i="51"/>
  <c r="Q6" i="51"/>
  <c r="Q7" i="51"/>
  <c r="Q8" i="51"/>
  <c r="Q9" i="51"/>
  <c r="Q10" i="51"/>
  <c r="Q11" i="51"/>
  <c r="Q12" i="51"/>
  <c r="Q13" i="51"/>
  <c r="Q14" i="51"/>
  <c r="Q15" i="51"/>
  <c r="Q16" i="51"/>
  <c r="Q17" i="51"/>
  <c r="Q18" i="51"/>
  <c r="Q19" i="51"/>
  <c r="Q20" i="51"/>
  <c r="Q21" i="51"/>
  <c r="Q22" i="51"/>
  <c r="Q23" i="51"/>
  <c r="Q24" i="51"/>
  <c r="Q25" i="51"/>
  <c r="Q26" i="51"/>
  <c r="Q27" i="51"/>
  <c r="Q28" i="51"/>
  <c r="Q29" i="51"/>
  <c r="Q30" i="51"/>
  <c r="Q31" i="51"/>
  <c r="Q32" i="51"/>
  <c r="Q33" i="51"/>
  <c r="Q34" i="51"/>
  <c r="Q35" i="51"/>
  <c r="Q36" i="51"/>
  <c r="Q37" i="51"/>
  <c r="Q38" i="51"/>
  <c r="Q39" i="51"/>
  <c r="Q40" i="51"/>
  <c r="Q41" i="51"/>
  <c r="Q42" i="51"/>
  <c r="Q43" i="51"/>
  <c r="Q44" i="51"/>
  <c r="Q45" i="51"/>
  <c r="Q46" i="51"/>
  <c r="Q47" i="51"/>
  <c r="Q48" i="51"/>
  <c r="Q49" i="51"/>
  <c r="Q50" i="51"/>
  <c r="Q51" i="51"/>
  <c r="Q52" i="51"/>
  <c r="Q53" i="51"/>
  <c r="Q54" i="51"/>
  <c r="Q55" i="51"/>
  <c r="Q56" i="51"/>
  <c r="Q57" i="51"/>
  <c r="Q58" i="51"/>
  <c r="Q59" i="51"/>
  <c r="Q60" i="51"/>
  <c r="Q61" i="51"/>
  <c r="Q62" i="51"/>
  <c r="Q63" i="51"/>
  <c r="Q64" i="51"/>
  <c r="Q65" i="51"/>
  <c r="Q66" i="51"/>
  <c r="Q67" i="51"/>
  <c r="Q68" i="51"/>
  <c r="Q69" i="51"/>
  <c r="Q70" i="51"/>
  <c r="Q71" i="51"/>
  <c r="Q72" i="51"/>
  <c r="Q73" i="51"/>
  <c r="Q74" i="51"/>
  <c r="Q75" i="51"/>
  <c r="Q76" i="51"/>
  <c r="Q77" i="51"/>
  <c r="Q78" i="51"/>
  <c r="Q79" i="51"/>
  <c r="Q80" i="51"/>
  <c r="Q81" i="51"/>
  <c r="Q82" i="51"/>
  <c r="Q83" i="51"/>
  <c r="Q84" i="51"/>
  <c r="Q85" i="51"/>
  <c r="Q86" i="51"/>
  <c r="Q87" i="51"/>
  <c r="Q88" i="51"/>
  <c r="Q89" i="51"/>
  <c r="Q90" i="51"/>
  <c r="Q91" i="51"/>
  <c r="Q92" i="51"/>
  <c r="Q93" i="51"/>
  <c r="Q94" i="51"/>
  <c r="Q95" i="51"/>
  <c r="Q96" i="51"/>
  <c r="Q97" i="51"/>
  <c r="Q98" i="51"/>
  <c r="Q99" i="51"/>
  <c r="Q100" i="51"/>
  <c r="Q101" i="51"/>
  <c r="Q102" i="51"/>
  <c r="Q103" i="51"/>
  <c r="Q104" i="51"/>
  <c r="Q105" i="51"/>
  <c r="Q106" i="51"/>
  <c r="Q107" i="51"/>
  <c r="Q108" i="51"/>
  <c r="Q109" i="51"/>
  <c r="Q110" i="51"/>
  <c r="Q111" i="51"/>
  <c r="Q112" i="51"/>
  <c r="Q113" i="51"/>
  <c r="Q114" i="51"/>
  <c r="Q115" i="51"/>
  <c r="Q116" i="51"/>
  <c r="Q117" i="51"/>
  <c r="Q118" i="51"/>
  <c r="Q119" i="51"/>
  <c r="Q120" i="51"/>
  <c r="Q121" i="51"/>
  <c r="Q122" i="51"/>
  <c r="Q123" i="51"/>
  <c r="Q124" i="51"/>
  <c r="Q125" i="51"/>
  <c r="Q126" i="51"/>
  <c r="Q127" i="51"/>
  <c r="Q128" i="51"/>
  <c r="Q129" i="51"/>
  <c r="Q130" i="51"/>
  <c r="Q131" i="51"/>
  <c r="Q132" i="51"/>
  <c r="Q133" i="51"/>
  <c r="Q134" i="51"/>
  <c r="Q135" i="51"/>
  <c r="Q136" i="51"/>
  <c r="Q137" i="51"/>
  <c r="Q138" i="51"/>
  <c r="Q139" i="51"/>
  <c r="Q140" i="51"/>
  <c r="Q141" i="51"/>
  <c r="Q142" i="51"/>
  <c r="Q143" i="51"/>
  <c r="Q144" i="51"/>
  <c r="Q145" i="51"/>
  <c r="Q146" i="51"/>
  <c r="Q147" i="51"/>
  <c r="Q148" i="51"/>
  <c r="Q149" i="51"/>
  <c r="Q150" i="51"/>
  <c r="Q151" i="51"/>
  <c r="Q152" i="51"/>
  <c r="Q153" i="51"/>
  <c r="Q154" i="51"/>
  <c r="Q155" i="51"/>
  <c r="Q156" i="51"/>
  <c r="Q157" i="51"/>
  <c r="Q158" i="51"/>
  <c r="Q159" i="51"/>
  <c r="Q160" i="51"/>
  <c r="Q161" i="51"/>
  <c r="Q162" i="51"/>
  <c r="Q163" i="51"/>
  <c r="Q164" i="51"/>
  <c r="Q165" i="51"/>
  <c r="Q166" i="51"/>
  <c r="Q167" i="51"/>
  <c r="Q168" i="51"/>
  <c r="Q169" i="51"/>
  <c r="Q170" i="51"/>
  <c r="Q171" i="51"/>
  <c r="Q172" i="51"/>
  <c r="Q173" i="51"/>
  <c r="Q174" i="51"/>
  <c r="Q175" i="51"/>
  <c r="Q176" i="51"/>
  <c r="Q177" i="51"/>
  <c r="Q178" i="51"/>
  <c r="Q179" i="51"/>
  <c r="Q180" i="51"/>
  <c r="Q181" i="51"/>
  <c r="Q182" i="51"/>
  <c r="Q183" i="51"/>
  <c r="Q184" i="51"/>
  <c r="Q185" i="51"/>
  <c r="Q186" i="51"/>
  <c r="Q187" i="51"/>
  <c r="Q188" i="51"/>
  <c r="Q189" i="51"/>
  <c r="Q190" i="51"/>
  <c r="Q191" i="51"/>
  <c r="Q192" i="51"/>
  <c r="Q193" i="51"/>
  <c r="Q194" i="51"/>
  <c r="Q195" i="51"/>
  <c r="Q196" i="51"/>
  <c r="Q197" i="51"/>
  <c r="Q198" i="51"/>
  <c r="Q199" i="51"/>
  <c r="Q200" i="51"/>
  <c r="Q201" i="51"/>
  <c r="Q202" i="51"/>
  <c r="Q203" i="51"/>
  <c r="Q204" i="51"/>
  <c r="Q205" i="51"/>
  <c r="Q206" i="51"/>
  <c r="Q207" i="51"/>
  <c r="Q208" i="51"/>
  <c r="Q209" i="51"/>
  <c r="Q210" i="51"/>
  <c r="Q211" i="51"/>
  <c r="Q212" i="51"/>
  <c r="Q213" i="51"/>
  <c r="Q214" i="51"/>
  <c r="Q215" i="51"/>
  <c r="Q216" i="51"/>
  <c r="Q217" i="51"/>
  <c r="Q218" i="51"/>
  <c r="Q219" i="51"/>
  <c r="Q220" i="51"/>
  <c r="Q221" i="51"/>
  <c r="Q222" i="51"/>
  <c r="Q223" i="51"/>
  <c r="Q224" i="51"/>
  <c r="Q225" i="51"/>
  <c r="Q226" i="51"/>
  <c r="Q227" i="51"/>
  <c r="Q228" i="51"/>
  <c r="Q229" i="51"/>
  <c r="Q230" i="51"/>
  <c r="Q231" i="51"/>
  <c r="Q232" i="51"/>
  <c r="Q233" i="51"/>
  <c r="Q234" i="51"/>
  <c r="Q235" i="51"/>
  <c r="Q236" i="51"/>
  <c r="Q237" i="51"/>
  <c r="Q238" i="51"/>
  <c r="Q239" i="51"/>
  <c r="Q240" i="51"/>
  <c r="Q241" i="51"/>
  <c r="Q242" i="51"/>
  <c r="D243" i="51"/>
  <c r="O242" i="51"/>
  <c r="O232" i="51"/>
  <c r="O222" i="51"/>
  <c r="O212" i="51"/>
  <c r="O202" i="51"/>
  <c r="O192" i="51"/>
  <c r="O182" i="51"/>
  <c r="O172" i="51"/>
  <c r="O162" i="51"/>
  <c r="O152" i="51"/>
  <c r="O142" i="51"/>
  <c r="O132" i="51"/>
  <c r="O122" i="51"/>
  <c r="O112" i="51"/>
  <c r="O102" i="51"/>
  <c r="O92" i="51"/>
  <c r="O82" i="51"/>
  <c r="O72" i="51"/>
  <c r="O62" i="51"/>
  <c r="O52" i="51"/>
  <c r="O42" i="51"/>
  <c r="O32" i="51"/>
  <c r="O22" i="51"/>
  <c r="O12" i="51"/>
  <c r="K323" i="64" l="1"/>
  <c r="L243" i="64"/>
  <c r="L323" i="64"/>
  <c r="N32" i="65"/>
  <c r="N42" i="65"/>
  <c r="K83" i="65"/>
  <c r="K163" i="65"/>
  <c r="N12" i="65"/>
  <c r="L163" i="65"/>
  <c r="N22" i="65"/>
  <c r="L243" i="63"/>
  <c r="L323" i="63"/>
  <c r="K323" i="63"/>
  <c r="L323" i="59"/>
  <c r="L243" i="59"/>
  <c r="K323" i="59"/>
  <c r="L323" i="58"/>
  <c r="L243" i="58"/>
  <c r="K323" i="58"/>
  <c r="L323" i="57"/>
  <c r="K323" i="57"/>
  <c r="L243" i="57"/>
  <c r="N323" i="51"/>
  <c r="P323" i="51"/>
  <c r="Q323" i="51"/>
  <c r="O323" i="51"/>
  <c r="Q243" i="51"/>
  <c r="P243" i="5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<sst xmlns="http://schemas.openxmlformats.org/spreadsheetml/2006/main" count="143" uniqueCount="25">
  <si>
    <t>Value</t>
    <phoneticPr fontId="1" type="noConversion"/>
  </si>
  <si>
    <t>Time</t>
    <phoneticPr fontId="1" type="noConversion"/>
  </si>
  <si>
    <t>CP</t>
    <phoneticPr fontId="1" type="noConversion"/>
  </si>
  <si>
    <t>LB</t>
    <phoneticPr fontId="1" type="noConversion"/>
  </si>
  <si>
    <t>AVG</t>
    <phoneticPr fontId="1" type="noConversion"/>
  </si>
  <si>
    <t>BC GAP</t>
    <phoneticPr fontId="1" type="noConversion"/>
  </si>
  <si>
    <t>CP GAP</t>
    <phoneticPr fontId="1" type="noConversion"/>
  </si>
  <si>
    <t>ERROR</t>
    <phoneticPr fontId="1" type="noConversion"/>
  </si>
  <si>
    <t>Job num</t>
  </si>
  <si>
    <t>Machine num</t>
  </si>
  <si>
    <t>Seed</t>
  </si>
  <si>
    <t>Lambda</t>
  </si>
  <si>
    <t>objective value</t>
  </si>
  <si>
    <t>lower bound</t>
  </si>
  <si>
    <t>total time</t>
  </si>
  <si>
    <t>initial ban num</t>
  </si>
  <si>
    <t>total ban num</t>
  </si>
  <si>
    <t>total iter num</t>
  </si>
  <si>
    <t>Ours</t>
    <phoneticPr fontId="1" type="noConversion"/>
  </si>
  <si>
    <t>Feasibility</t>
    <phoneticPr fontId="1" type="noConversion"/>
  </si>
  <si>
    <t>GAP</t>
    <phoneticPr fontId="1" type="noConversion"/>
  </si>
  <si>
    <t>Success Rate</t>
    <phoneticPr fontId="1" type="noConversion"/>
  </si>
  <si>
    <t>Average GAP</t>
    <phoneticPr fontId="1" type="noConversion"/>
  </si>
  <si>
    <t>Average time</t>
    <phoneticPr fontId="1" type="noConversion"/>
  </si>
  <si>
    <t>Average 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</si>
</sst>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"/>
    <numFmt numFmtId="178" formatCode="0_);[Red]\(0\)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>
      <alignment horizontal="center" vertical="center"/>
    </xf>
    <xf numFmtId="9" fontId="0" fillId="0" borderId="0" xfId="42" applyFont="1">
      <alignment vertical="center"/>
    </xf>
    <xf numFmtId="9" fontId="0" fillId="0" borderId="2" xfId="42" applyFont="1" applyBorder="1">
      <alignment vertical="center"/>
    </xf>
    <xf numFmtId="9" fontId="0" fillId="0" borderId="1" xfId="42" applyFon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9" fontId="0" fillId="0" borderId="0" xfId="42" applyFont="1" applyAlignment="1">
      <alignment horizontal="center" vertical="center"/>
    </xf>
    <xf numFmtId="9" fontId="0" fillId="0" borderId="2" xfId="42" applyFont="1" applyBorder="1" applyAlignment="1">
      <alignment horizontal="center" vertical="center"/>
    </xf>
    <xf numFmtId="9" fontId="0" fillId="0" borderId="3" xfId="42" applyFont="1" applyBorder="1">
      <alignment vertical="center"/>
    </xf>
    <xf numFmtId="178" fontId="0" fillId="0" borderId="1" xfId="0" applyNumberFormat="1" applyBorder="1">
      <alignment vertical="center"/>
    </xf>
    <xf numFmtId="0" fontId="19" fillId="0" borderId="1" xfId="0" applyFont="1" applyBorder="1">
      <alignment vertical="center"/>
    </xf>
    <xf numFmtId="0" fontId="19" fillId="0" borderId="0" xfId="0" applyFont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10" fontId="0" fillId="0" borderId="0" xfId="42" applyNumberFormat="1" applyFont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56"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52BE37-25B5-4C84-921C-EE0C6D747E05}">
  <we:reference id="wa200005502" version="1.0.0.11" store="ko-KR" storeType="OMEX"/>
  <we:alternateReferences>
    <we:reference id="wa200005502" version="1.0.0.11" store="wa200005502" storeType="OMEX"/>
  </we:alternateReferences>
  <we:properties>
    <we:property name="docId" value="&quot;TNxgsOioq9lx82nYS0o9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C09F-4490-4DBC-AA5F-A737E0DBFAA8}">
  <dimension ref="A1:M323"/>
  <sheetViews>
    <sheetView topLeftCell="A217" zoomScale="85" zoomScaleNormal="85" workbookViewId="0">
      <selection activeCell="M231" sqref="M231"/>
    </sheetView>
  </sheetViews>
  <sheetFormatPr defaultRowHeight="16.5" x14ac:dyDescent="0.3"/>
  <cols>
    <col min="1" max="1" width="8.875" bestFit="1" customWidth="1"/>
    <col min="2" max="2" width="13.75" bestFit="1" customWidth="1"/>
    <col min="5" max="5" width="14.75" bestFit="1" customWidth="1"/>
    <col min="6" max="6" width="12.625" bestFit="1" customWidth="1"/>
    <col min="7" max="7" width="9.75" bestFit="1" customWidth="1"/>
    <col min="8" max="8" width="15.125" bestFit="1" customWidth="1"/>
    <col min="9" max="9" width="14.125" bestFit="1" customWidth="1"/>
    <col min="10" max="10" width="13.625" bestFit="1" customWidth="1"/>
    <col min="11" max="11" width="9.125" style="4" bestFit="1" customWidth="1"/>
    <col min="13" max="13" width="9" style="7"/>
  </cols>
  <sheetData>
    <row r="1" spans="1:13" s="13" customFormat="1" x14ac:dyDescent="0.3">
      <c r="C1" s="12"/>
      <c r="D1" s="13" t="s">
        <v>18</v>
      </c>
      <c r="J1" s="12"/>
      <c r="K1" s="11"/>
      <c r="M1" s="10"/>
    </row>
    <row r="2" spans="1:13" s="9" customFormat="1" x14ac:dyDescent="0.3">
      <c r="A2" s="9" t="s">
        <v>8</v>
      </c>
      <c r="B2" s="9" t="s">
        <v>9</v>
      </c>
      <c r="C2" s="17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17" t="s">
        <v>17</v>
      </c>
      <c r="K2" s="15" t="s">
        <v>4</v>
      </c>
      <c r="L2" s="9" t="s">
        <v>5</v>
      </c>
    </row>
    <row r="3" spans="1:13" x14ac:dyDescent="0.3">
      <c r="A3">
        <v>30</v>
      </c>
      <c r="B3">
        <v>2</v>
      </c>
      <c r="C3" s="1">
        <v>10</v>
      </c>
      <c r="D3">
        <v>1.1499999999999999</v>
      </c>
      <c r="E3">
        <v>2</v>
      </c>
      <c r="F3">
        <v>2</v>
      </c>
      <c r="G3">
        <v>1.7000000000000001E-2</v>
      </c>
      <c r="H3">
        <v>0</v>
      </c>
      <c r="I3">
        <v>0</v>
      </c>
      <c r="J3" s="1">
        <v>1</v>
      </c>
      <c r="L3">
        <f t="shared" ref="L3:L66" si="0">IF(ISBLANK(E3),IF(ISBLANK(F3),"",100), IF(E3+F3=0, 0, IF(G3=3600, IF(E3=F3,1,(E3-F3)/E3*100), 0)))</f>
        <v>0</v>
      </c>
    </row>
    <row r="4" spans="1:13" x14ac:dyDescent="0.3">
      <c r="A4">
        <v>30</v>
      </c>
      <c r="B4">
        <v>2</v>
      </c>
      <c r="C4" s="1">
        <v>20</v>
      </c>
      <c r="D4">
        <v>1.1499999999999999</v>
      </c>
      <c r="E4">
        <v>2</v>
      </c>
      <c r="F4">
        <v>2</v>
      </c>
      <c r="G4">
        <v>1.6E-2</v>
      </c>
      <c r="H4">
        <v>0</v>
      </c>
      <c r="I4">
        <v>0</v>
      </c>
      <c r="J4" s="1">
        <v>1</v>
      </c>
      <c r="L4">
        <f t="shared" si="0"/>
        <v>0</v>
      </c>
    </row>
    <row r="5" spans="1:13" x14ac:dyDescent="0.3">
      <c r="A5">
        <v>30</v>
      </c>
      <c r="B5">
        <v>2</v>
      </c>
      <c r="C5" s="1">
        <v>30</v>
      </c>
      <c r="D5">
        <v>1.1499999999999999</v>
      </c>
      <c r="E5">
        <v>2</v>
      </c>
      <c r="F5">
        <v>2</v>
      </c>
      <c r="G5">
        <v>1.6E-2</v>
      </c>
      <c r="H5">
        <v>0</v>
      </c>
      <c r="I5">
        <v>0</v>
      </c>
      <c r="J5" s="1">
        <v>1</v>
      </c>
      <c r="L5">
        <f t="shared" si="0"/>
        <v>0</v>
      </c>
    </row>
    <row r="6" spans="1:13" x14ac:dyDescent="0.3">
      <c r="A6">
        <v>30</v>
      </c>
      <c r="B6">
        <v>2</v>
      </c>
      <c r="C6" s="1">
        <v>40</v>
      </c>
      <c r="D6">
        <v>1.1499999999999999</v>
      </c>
      <c r="E6">
        <v>2</v>
      </c>
      <c r="F6">
        <v>2</v>
      </c>
      <c r="G6">
        <v>1.9E-2</v>
      </c>
      <c r="H6">
        <v>0</v>
      </c>
      <c r="I6">
        <v>0</v>
      </c>
      <c r="J6" s="1">
        <v>1</v>
      </c>
      <c r="L6">
        <f t="shared" si="0"/>
        <v>0</v>
      </c>
    </row>
    <row r="7" spans="1:13" x14ac:dyDescent="0.3">
      <c r="A7">
        <v>30</v>
      </c>
      <c r="B7">
        <v>2</v>
      </c>
      <c r="C7" s="1">
        <v>50</v>
      </c>
      <c r="D7">
        <v>1.1499999999999999</v>
      </c>
      <c r="E7">
        <v>2</v>
      </c>
      <c r="F7">
        <v>2</v>
      </c>
      <c r="G7">
        <v>1.9E-2</v>
      </c>
      <c r="H7">
        <v>0</v>
      </c>
      <c r="I7">
        <v>0</v>
      </c>
      <c r="J7" s="1">
        <v>1</v>
      </c>
      <c r="L7">
        <f t="shared" si="0"/>
        <v>0</v>
      </c>
    </row>
    <row r="8" spans="1:13" x14ac:dyDescent="0.3">
      <c r="A8">
        <v>30</v>
      </c>
      <c r="B8">
        <v>2</v>
      </c>
      <c r="C8" s="1">
        <v>60</v>
      </c>
      <c r="D8">
        <v>1.1499999999999999</v>
      </c>
      <c r="E8">
        <v>2</v>
      </c>
      <c r="F8">
        <v>2</v>
      </c>
      <c r="G8">
        <v>1.6E-2</v>
      </c>
      <c r="H8">
        <v>0</v>
      </c>
      <c r="I8">
        <v>0</v>
      </c>
      <c r="J8" s="1">
        <v>1</v>
      </c>
      <c r="L8">
        <f t="shared" si="0"/>
        <v>0</v>
      </c>
    </row>
    <row r="9" spans="1:13" x14ac:dyDescent="0.3">
      <c r="A9">
        <v>30</v>
      </c>
      <c r="B9">
        <v>2</v>
      </c>
      <c r="C9" s="1">
        <v>70</v>
      </c>
      <c r="D9">
        <v>1.1499999999999999</v>
      </c>
      <c r="E9">
        <v>2</v>
      </c>
      <c r="F9">
        <v>2</v>
      </c>
      <c r="G9">
        <v>1.6E-2</v>
      </c>
      <c r="H9">
        <v>0</v>
      </c>
      <c r="I9">
        <v>0</v>
      </c>
      <c r="J9" s="1">
        <v>1</v>
      </c>
      <c r="L9">
        <f t="shared" si="0"/>
        <v>0</v>
      </c>
    </row>
    <row r="10" spans="1:13" x14ac:dyDescent="0.3">
      <c r="A10">
        <v>30</v>
      </c>
      <c r="B10">
        <v>2</v>
      </c>
      <c r="C10" s="1">
        <v>80</v>
      </c>
      <c r="D10">
        <v>1.1499999999999999</v>
      </c>
      <c r="E10">
        <v>2</v>
      </c>
      <c r="F10">
        <v>2</v>
      </c>
      <c r="G10">
        <v>1.7000000000000001E-2</v>
      </c>
      <c r="H10">
        <v>0</v>
      </c>
      <c r="I10">
        <v>0</v>
      </c>
      <c r="J10" s="1">
        <v>1</v>
      </c>
      <c r="L10">
        <f t="shared" si="0"/>
        <v>0</v>
      </c>
    </row>
    <row r="11" spans="1:13" x14ac:dyDescent="0.3">
      <c r="A11">
        <v>30</v>
      </c>
      <c r="B11">
        <v>2</v>
      </c>
      <c r="C11" s="1">
        <v>90</v>
      </c>
      <c r="D11">
        <v>1.1499999999999999</v>
      </c>
      <c r="E11">
        <v>2</v>
      </c>
      <c r="F11">
        <v>2</v>
      </c>
      <c r="G11">
        <v>1.7000000000000001E-2</v>
      </c>
      <c r="H11">
        <v>0</v>
      </c>
      <c r="I11">
        <v>0</v>
      </c>
      <c r="J11" s="1">
        <v>1</v>
      </c>
      <c r="L11">
        <f t="shared" si="0"/>
        <v>0</v>
      </c>
    </row>
    <row r="12" spans="1:13" s="2" customFormat="1" x14ac:dyDescent="0.3">
      <c r="A12" s="2">
        <v>30</v>
      </c>
      <c r="B12" s="2">
        <v>2</v>
      </c>
      <c r="C12" s="3">
        <v>100</v>
      </c>
      <c r="D12" s="2">
        <v>1.1499999999999999</v>
      </c>
      <c r="E12" s="2">
        <v>2</v>
      </c>
      <c r="F12" s="2">
        <v>2</v>
      </c>
      <c r="G12" s="2">
        <v>1.4999999999999999E-2</v>
      </c>
      <c r="H12" s="2">
        <v>0</v>
      </c>
      <c r="I12" s="2">
        <v>0</v>
      </c>
      <c r="J12" s="3">
        <v>1</v>
      </c>
      <c r="K12" s="5">
        <f>AVERAGE(G3:G12)</f>
        <v>1.6800000000000002E-2</v>
      </c>
      <c r="L12" s="2">
        <f t="shared" si="0"/>
        <v>0</v>
      </c>
    </row>
    <row r="13" spans="1:13" x14ac:dyDescent="0.3">
      <c r="A13">
        <v>30</v>
      </c>
      <c r="B13">
        <v>3</v>
      </c>
      <c r="C13" s="1">
        <v>10</v>
      </c>
      <c r="D13">
        <v>1.1499999999999999</v>
      </c>
      <c r="E13">
        <v>1</v>
      </c>
      <c r="F13">
        <v>1</v>
      </c>
      <c r="G13">
        <v>5.6000000000000001E-2</v>
      </c>
      <c r="H13">
        <v>0</v>
      </c>
      <c r="I13">
        <v>0</v>
      </c>
      <c r="J13" s="1">
        <v>1</v>
      </c>
      <c r="L13">
        <f t="shared" si="0"/>
        <v>0</v>
      </c>
    </row>
    <row r="14" spans="1:13" x14ac:dyDescent="0.3">
      <c r="A14">
        <v>30</v>
      </c>
      <c r="B14">
        <v>3</v>
      </c>
      <c r="C14" s="1">
        <v>20</v>
      </c>
      <c r="D14">
        <v>1.1499999999999999</v>
      </c>
      <c r="E14">
        <v>1</v>
      </c>
      <c r="F14">
        <v>1</v>
      </c>
      <c r="G14">
        <v>4.5999999999999999E-2</v>
      </c>
      <c r="H14">
        <v>0</v>
      </c>
      <c r="I14">
        <v>0</v>
      </c>
      <c r="J14" s="1">
        <v>1</v>
      </c>
      <c r="L14">
        <f t="shared" si="0"/>
        <v>0</v>
      </c>
    </row>
    <row r="15" spans="1:13" x14ac:dyDescent="0.3">
      <c r="A15">
        <v>30</v>
      </c>
      <c r="B15">
        <v>3</v>
      </c>
      <c r="C15" s="1">
        <v>30</v>
      </c>
      <c r="D15">
        <v>1.1499999999999999</v>
      </c>
      <c r="E15">
        <v>1</v>
      </c>
      <c r="F15">
        <v>1</v>
      </c>
      <c r="G15">
        <v>6.0999999999999999E-2</v>
      </c>
      <c r="H15">
        <v>0</v>
      </c>
      <c r="I15">
        <v>0</v>
      </c>
      <c r="J15" s="1">
        <v>1</v>
      </c>
      <c r="L15">
        <f t="shared" si="0"/>
        <v>0</v>
      </c>
    </row>
    <row r="16" spans="1:13" x14ac:dyDescent="0.3">
      <c r="A16">
        <v>30</v>
      </c>
      <c r="B16">
        <v>3</v>
      </c>
      <c r="C16" s="1">
        <v>40</v>
      </c>
      <c r="D16">
        <v>1.1499999999999999</v>
      </c>
      <c r="E16">
        <v>1</v>
      </c>
      <c r="F16">
        <v>1</v>
      </c>
      <c r="G16">
        <v>4.5999999999999999E-2</v>
      </c>
      <c r="H16">
        <v>0</v>
      </c>
      <c r="I16">
        <v>0</v>
      </c>
      <c r="J16" s="1">
        <v>1</v>
      </c>
      <c r="L16">
        <f t="shared" si="0"/>
        <v>0</v>
      </c>
    </row>
    <row r="17" spans="1:12" x14ac:dyDescent="0.3">
      <c r="A17">
        <v>30</v>
      </c>
      <c r="B17">
        <v>3</v>
      </c>
      <c r="C17" s="1">
        <v>50</v>
      </c>
      <c r="D17">
        <v>1.1499999999999999</v>
      </c>
      <c r="E17">
        <v>2</v>
      </c>
      <c r="F17">
        <v>2</v>
      </c>
      <c r="G17">
        <v>0.122</v>
      </c>
      <c r="H17">
        <v>0</v>
      </c>
      <c r="I17">
        <v>0</v>
      </c>
      <c r="J17" s="1">
        <v>1</v>
      </c>
      <c r="L17">
        <f t="shared" si="0"/>
        <v>0</v>
      </c>
    </row>
    <row r="18" spans="1:12" x14ac:dyDescent="0.3">
      <c r="A18">
        <v>30</v>
      </c>
      <c r="B18">
        <v>3</v>
      </c>
      <c r="C18" s="1">
        <v>60</v>
      </c>
      <c r="D18">
        <v>1.1499999999999999</v>
      </c>
      <c r="E18">
        <v>2</v>
      </c>
      <c r="F18">
        <v>2</v>
      </c>
      <c r="G18">
        <v>9.8000000000000004E-2</v>
      </c>
      <c r="H18">
        <v>0</v>
      </c>
      <c r="I18">
        <v>0</v>
      </c>
      <c r="J18" s="1">
        <v>1</v>
      </c>
      <c r="L18">
        <f t="shared" si="0"/>
        <v>0</v>
      </c>
    </row>
    <row r="19" spans="1:12" x14ac:dyDescent="0.3">
      <c r="A19">
        <v>30</v>
      </c>
      <c r="B19">
        <v>3</v>
      </c>
      <c r="C19" s="1">
        <v>70</v>
      </c>
      <c r="D19">
        <v>1.1499999999999999</v>
      </c>
      <c r="E19">
        <v>1</v>
      </c>
      <c r="F19">
        <v>1</v>
      </c>
      <c r="G19">
        <v>5.6000000000000001E-2</v>
      </c>
      <c r="H19">
        <v>0</v>
      </c>
      <c r="I19">
        <v>0</v>
      </c>
      <c r="J19" s="1">
        <v>1</v>
      </c>
      <c r="L19">
        <f t="shared" si="0"/>
        <v>0</v>
      </c>
    </row>
    <row r="20" spans="1:12" x14ac:dyDescent="0.3">
      <c r="A20">
        <v>30</v>
      </c>
      <c r="B20">
        <v>3</v>
      </c>
      <c r="C20" s="1">
        <v>80</v>
      </c>
      <c r="D20">
        <v>1.1499999999999999</v>
      </c>
      <c r="E20">
        <v>1</v>
      </c>
      <c r="F20">
        <v>1</v>
      </c>
      <c r="G20">
        <v>6.2E-2</v>
      </c>
      <c r="H20">
        <v>0</v>
      </c>
      <c r="I20">
        <v>0</v>
      </c>
      <c r="J20" s="1">
        <v>1</v>
      </c>
      <c r="L20">
        <f t="shared" si="0"/>
        <v>0</v>
      </c>
    </row>
    <row r="21" spans="1:12" x14ac:dyDescent="0.3">
      <c r="A21">
        <v>30</v>
      </c>
      <c r="B21">
        <v>3</v>
      </c>
      <c r="C21" s="1">
        <v>90</v>
      </c>
      <c r="D21">
        <v>1.1499999999999999</v>
      </c>
      <c r="E21">
        <v>1</v>
      </c>
      <c r="F21">
        <v>1</v>
      </c>
      <c r="G21">
        <v>4.7E-2</v>
      </c>
      <c r="H21">
        <v>0</v>
      </c>
      <c r="I21">
        <v>0</v>
      </c>
      <c r="J21" s="1">
        <v>1</v>
      </c>
      <c r="L21">
        <f t="shared" si="0"/>
        <v>0</v>
      </c>
    </row>
    <row r="22" spans="1:12" s="2" customFormat="1" x14ac:dyDescent="0.3">
      <c r="A22" s="2">
        <v>30</v>
      </c>
      <c r="B22" s="2">
        <v>3</v>
      </c>
      <c r="C22" s="3">
        <v>100</v>
      </c>
      <c r="D22" s="2">
        <v>1.1499999999999999</v>
      </c>
      <c r="E22" s="2">
        <v>1</v>
      </c>
      <c r="F22" s="2">
        <v>1</v>
      </c>
      <c r="G22" s="2">
        <v>4.3999999999999997E-2</v>
      </c>
      <c r="H22" s="2">
        <v>0</v>
      </c>
      <c r="I22" s="2">
        <v>0</v>
      </c>
      <c r="J22" s="3">
        <v>1</v>
      </c>
      <c r="K22" s="5">
        <f>AVERAGE(G13:G22)</f>
        <v>6.3800000000000009E-2</v>
      </c>
      <c r="L22" s="2">
        <f t="shared" si="0"/>
        <v>0</v>
      </c>
    </row>
    <row r="23" spans="1:12" x14ac:dyDescent="0.3">
      <c r="A23">
        <v>30</v>
      </c>
      <c r="B23">
        <v>4</v>
      </c>
      <c r="C23" s="1">
        <v>10</v>
      </c>
      <c r="D23">
        <v>1.1499999999999999</v>
      </c>
      <c r="E23">
        <v>0</v>
      </c>
      <c r="F23">
        <v>0</v>
      </c>
      <c r="G23">
        <v>7.5999999999999998E-2</v>
      </c>
      <c r="H23">
        <v>0</v>
      </c>
      <c r="I23">
        <v>0</v>
      </c>
      <c r="J23" s="1">
        <v>1</v>
      </c>
      <c r="L23">
        <f t="shared" si="0"/>
        <v>0</v>
      </c>
    </row>
    <row r="24" spans="1:12" x14ac:dyDescent="0.3">
      <c r="A24">
        <v>30</v>
      </c>
      <c r="B24">
        <v>4</v>
      </c>
      <c r="C24" s="1">
        <v>20</v>
      </c>
      <c r="D24">
        <v>1.1499999999999999</v>
      </c>
      <c r="E24">
        <v>0</v>
      </c>
      <c r="F24">
        <v>0</v>
      </c>
      <c r="G24">
        <v>7.6999999999999999E-2</v>
      </c>
      <c r="H24">
        <v>0</v>
      </c>
      <c r="I24">
        <v>0</v>
      </c>
      <c r="J24" s="1">
        <v>1</v>
      </c>
      <c r="L24">
        <f t="shared" si="0"/>
        <v>0</v>
      </c>
    </row>
    <row r="25" spans="1:12" x14ac:dyDescent="0.3">
      <c r="A25">
        <v>30</v>
      </c>
      <c r="B25">
        <v>4</v>
      </c>
      <c r="C25" s="1">
        <v>30</v>
      </c>
      <c r="D25">
        <v>1.1499999999999999</v>
      </c>
      <c r="E25">
        <v>0</v>
      </c>
      <c r="F25">
        <v>0</v>
      </c>
      <c r="G25">
        <v>7.8E-2</v>
      </c>
      <c r="H25">
        <v>0</v>
      </c>
      <c r="I25">
        <v>0</v>
      </c>
      <c r="J25" s="1">
        <v>1</v>
      </c>
      <c r="L25">
        <f t="shared" si="0"/>
        <v>0</v>
      </c>
    </row>
    <row r="26" spans="1:12" x14ac:dyDescent="0.3">
      <c r="A26">
        <v>30</v>
      </c>
      <c r="B26">
        <v>4</v>
      </c>
      <c r="C26" s="1">
        <v>40</v>
      </c>
      <c r="D26">
        <v>1.1499999999999999</v>
      </c>
      <c r="E26">
        <v>0</v>
      </c>
      <c r="F26">
        <v>0</v>
      </c>
      <c r="G26">
        <v>6.4000000000000001E-2</v>
      </c>
      <c r="H26">
        <v>0</v>
      </c>
      <c r="I26">
        <v>0</v>
      </c>
      <c r="J26" s="1">
        <v>1</v>
      </c>
      <c r="L26">
        <f t="shared" si="0"/>
        <v>0</v>
      </c>
    </row>
    <row r="27" spans="1:12" x14ac:dyDescent="0.3">
      <c r="A27">
        <v>30</v>
      </c>
      <c r="B27">
        <v>4</v>
      </c>
      <c r="C27" s="1">
        <v>50</v>
      </c>
      <c r="D27">
        <v>1.1499999999999999</v>
      </c>
      <c r="E27">
        <v>0</v>
      </c>
      <c r="F27">
        <v>0</v>
      </c>
      <c r="G27">
        <v>7.3999999999999996E-2</v>
      </c>
      <c r="H27">
        <v>0</v>
      </c>
      <c r="I27">
        <v>0</v>
      </c>
      <c r="J27" s="1">
        <v>1</v>
      </c>
      <c r="L27">
        <f t="shared" si="0"/>
        <v>0</v>
      </c>
    </row>
    <row r="28" spans="1:12" x14ac:dyDescent="0.3">
      <c r="A28">
        <v>30</v>
      </c>
      <c r="B28">
        <v>4</v>
      </c>
      <c r="C28" s="1">
        <v>60</v>
      </c>
      <c r="D28">
        <v>1.1499999999999999</v>
      </c>
      <c r="E28">
        <v>0</v>
      </c>
      <c r="F28">
        <v>0</v>
      </c>
      <c r="G28">
        <v>6.4000000000000001E-2</v>
      </c>
      <c r="H28">
        <v>0</v>
      </c>
      <c r="I28">
        <v>0</v>
      </c>
      <c r="J28" s="1">
        <v>1</v>
      </c>
      <c r="L28">
        <f t="shared" si="0"/>
        <v>0</v>
      </c>
    </row>
    <row r="29" spans="1:12" x14ac:dyDescent="0.3">
      <c r="A29">
        <v>30</v>
      </c>
      <c r="B29">
        <v>4</v>
      </c>
      <c r="C29" s="1">
        <v>70</v>
      </c>
      <c r="D29">
        <v>1.1499999999999999</v>
      </c>
      <c r="E29">
        <v>0</v>
      </c>
      <c r="F29">
        <v>0</v>
      </c>
      <c r="G29">
        <v>7.1999999999999995E-2</v>
      </c>
      <c r="H29">
        <v>0</v>
      </c>
      <c r="I29">
        <v>0</v>
      </c>
      <c r="J29" s="1">
        <v>1</v>
      </c>
      <c r="L29">
        <f t="shared" si="0"/>
        <v>0</v>
      </c>
    </row>
    <row r="30" spans="1:12" x14ac:dyDescent="0.3">
      <c r="A30">
        <v>30</v>
      </c>
      <c r="B30">
        <v>4</v>
      </c>
      <c r="C30" s="1">
        <v>80</v>
      </c>
      <c r="D30">
        <v>1.1499999999999999</v>
      </c>
      <c r="E30">
        <v>0</v>
      </c>
      <c r="F30">
        <v>0</v>
      </c>
      <c r="G30">
        <v>6.2E-2</v>
      </c>
      <c r="H30">
        <v>0</v>
      </c>
      <c r="I30">
        <v>0</v>
      </c>
      <c r="J30" s="1">
        <v>1</v>
      </c>
      <c r="L30">
        <f t="shared" si="0"/>
        <v>0</v>
      </c>
    </row>
    <row r="31" spans="1:12" x14ac:dyDescent="0.3">
      <c r="A31">
        <v>30</v>
      </c>
      <c r="B31">
        <v>4</v>
      </c>
      <c r="C31" s="1">
        <v>90</v>
      </c>
      <c r="D31">
        <v>1.1499999999999999</v>
      </c>
      <c r="E31">
        <v>0</v>
      </c>
      <c r="F31">
        <v>0</v>
      </c>
      <c r="G31">
        <v>6.3E-2</v>
      </c>
      <c r="H31">
        <v>0</v>
      </c>
      <c r="I31">
        <v>0</v>
      </c>
      <c r="J31" s="1">
        <v>1</v>
      </c>
      <c r="L31">
        <f t="shared" si="0"/>
        <v>0</v>
      </c>
    </row>
    <row r="32" spans="1:12" s="2" customFormat="1" x14ac:dyDescent="0.3">
      <c r="A32" s="2">
        <v>30</v>
      </c>
      <c r="B32" s="2">
        <v>4</v>
      </c>
      <c r="C32" s="3">
        <v>100</v>
      </c>
      <c r="D32" s="2">
        <v>1.1499999999999999</v>
      </c>
      <c r="E32" s="2">
        <v>1</v>
      </c>
      <c r="F32" s="2">
        <v>1</v>
      </c>
      <c r="G32" s="2">
        <v>5.8999999999999997E-2</v>
      </c>
      <c r="H32" s="2">
        <v>1</v>
      </c>
      <c r="I32" s="2">
        <v>1</v>
      </c>
      <c r="J32" s="3">
        <v>1</v>
      </c>
      <c r="K32" s="5">
        <f>AVERAGE(G23:G32)</f>
        <v>6.8899999999999989E-2</v>
      </c>
      <c r="L32" s="2">
        <f t="shared" si="0"/>
        <v>0</v>
      </c>
    </row>
    <row r="33" spans="1:12" x14ac:dyDescent="0.3">
      <c r="A33">
        <v>30</v>
      </c>
      <c r="B33">
        <v>5</v>
      </c>
      <c r="C33" s="1">
        <v>10</v>
      </c>
      <c r="D33">
        <v>1.1499999999999999</v>
      </c>
      <c r="E33">
        <v>0</v>
      </c>
      <c r="F33">
        <v>0</v>
      </c>
      <c r="G33">
        <v>6.0999999999999999E-2</v>
      </c>
      <c r="H33">
        <v>1</v>
      </c>
      <c r="I33">
        <v>1</v>
      </c>
      <c r="J33" s="1">
        <v>1</v>
      </c>
      <c r="L33">
        <f t="shared" si="0"/>
        <v>0</v>
      </c>
    </row>
    <row r="34" spans="1:12" x14ac:dyDescent="0.3">
      <c r="A34">
        <v>30</v>
      </c>
      <c r="B34">
        <v>5</v>
      </c>
      <c r="C34" s="1">
        <v>20</v>
      </c>
      <c r="D34">
        <v>1.1499999999999999</v>
      </c>
      <c r="E34">
        <v>0</v>
      </c>
      <c r="F34">
        <v>0</v>
      </c>
      <c r="G34">
        <v>6.0999999999999999E-2</v>
      </c>
      <c r="H34">
        <v>1</v>
      </c>
      <c r="I34">
        <v>1</v>
      </c>
      <c r="J34" s="1">
        <v>1</v>
      </c>
      <c r="L34">
        <f t="shared" si="0"/>
        <v>0</v>
      </c>
    </row>
    <row r="35" spans="1:12" x14ac:dyDescent="0.3">
      <c r="A35">
        <v>30</v>
      </c>
      <c r="B35">
        <v>5</v>
      </c>
      <c r="C35" s="1">
        <v>30</v>
      </c>
      <c r="D35">
        <v>1.1499999999999999</v>
      </c>
      <c r="E35">
        <v>0</v>
      </c>
      <c r="F35">
        <v>0</v>
      </c>
      <c r="G35">
        <v>0.06</v>
      </c>
      <c r="H35">
        <v>0</v>
      </c>
      <c r="I35">
        <v>0</v>
      </c>
      <c r="J35" s="1">
        <v>1</v>
      </c>
      <c r="L35">
        <f t="shared" si="0"/>
        <v>0</v>
      </c>
    </row>
    <row r="36" spans="1:12" x14ac:dyDescent="0.3">
      <c r="A36">
        <v>30</v>
      </c>
      <c r="B36">
        <v>5</v>
      </c>
      <c r="C36" s="1">
        <v>40</v>
      </c>
      <c r="D36">
        <v>1.1499999999999999</v>
      </c>
      <c r="E36">
        <v>0</v>
      </c>
      <c r="F36">
        <v>0</v>
      </c>
      <c r="G36">
        <v>6.4000000000000001E-2</v>
      </c>
      <c r="H36">
        <v>1</v>
      </c>
      <c r="I36">
        <v>1</v>
      </c>
      <c r="J36" s="1">
        <v>1</v>
      </c>
      <c r="L36">
        <f t="shared" si="0"/>
        <v>0</v>
      </c>
    </row>
    <row r="37" spans="1:12" x14ac:dyDescent="0.3">
      <c r="A37">
        <v>30</v>
      </c>
      <c r="B37">
        <v>5</v>
      </c>
      <c r="C37" s="1">
        <v>50</v>
      </c>
      <c r="D37">
        <v>1.1499999999999999</v>
      </c>
      <c r="E37">
        <v>0</v>
      </c>
      <c r="F37">
        <v>0</v>
      </c>
      <c r="G37">
        <v>6.2E-2</v>
      </c>
      <c r="H37">
        <v>1</v>
      </c>
      <c r="I37">
        <v>1</v>
      </c>
      <c r="J37" s="1">
        <v>1</v>
      </c>
      <c r="L37">
        <f t="shared" si="0"/>
        <v>0</v>
      </c>
    </row>
    <row r="38" spans="1:12" x14ac:dyDescent="0.3">
      <c r="A38">
        <v>30</v>
      </c>
      <c r="B38">
        <v>5</v>
      </c>
      <c r="C38" s="1">
        <v>60</v>
      </c>
      <c r="D38">
        <v>1.1499999999999999</v>
      </c>
      <c r="E38">
        <v>0</v>
      </c>
      <c r="F38">
        <v>0</v>
      </c>
      <c r="G38">
        <v>6.2E-2</v>
      </c>
      <c r="H38">
        <v>1</v>
      </c>
      <c r="I38">
        <v>1</v>
      </c>
      <c r="J38" s="1">
        <v>1</v>
      </c>
      <c r="L38">
        <f t="shared" si="0"/>
        <v>0</v>
      </c>
    </row>
    <row r="39" spans="1:12" x14ac:dyDescent="0.3">
      <c r="A39">
        <v>30</v>
      </c>
      <c r="B39">
        <v>5</v>
      </c>
      <c r="C39" s="1">
        <v>70</v>
      </c>
      <c r="D39">
        <v>1.1499999999999999</v>
      </c>
      <c r="E39">
        <v>0</v>
      </c>
      <c r="F39">
        <v>0</v>
      </c>
      <c r="G39">
        <v>6.2E-2</v>
      </c>
      <c r="H39">
        <v>0</v>
      </c>
      <c r="I39">
        <v>0</v>
      </c>
      <c r="J39" s="1">
        <v>1</v>
      </c>
      <c r="L39">
        <f t="shared" si="0"/>
        <v>0</v>
      </c>
    </row>
    <row r="40" spans="1:12" x14ac:dyDescent="0.3">
      <c r="A40">
        <v>30</v>
      </c>
      <c r="B40">
        <v>5</v>
      </c>
      <c r="C40" s="1">
        <v>80</v>
      </c>
      <c r="D40">
        <v>1.1499999999999999</v>
      </c>
      <c r="E40">
        <v>0</v>
      </c>
      <c r="F40">
        <v>0</v>
      </c>
      <c r="G40">
        <v>6.0999999999999999E-2</v>
      </c>
      <c r="H40">
        <v>0</v>
      </c>
      <c r="I40">
        <v>0</v>
      </c>
      <c r="J40" s="1">
        <v>1</v>
      </c>
      <c r="L40">
        <f t="shared" si="0"/>
        <v>0</v>
      </c>
    </row>
    <row r="41" spans="1:12" x14ac:dyDescent="0.3">
      <c r="A41">
        <v>30</v>
      </c>
      <c r="B41">
        <v>5</v>
      </c>
      <c r="C41" s="1">
        <v>90</v>
      </c>
      <c r="D41">
        <v>1.1499999999999999</v>
      </c>
      <c r="E41">
        <v>0</v>
      </c>
      <c r="F41">
        <v>0</v>
      </c>
      <c r="G41">
        <v>6.3E-2</v>
      </c>
      <c r="H41">
        <v>1</v>
      </c>
      <c r="I41">
        <v>1</v>
      </c>
      <c r="J41" s="1">
        <v>1</v>
      </c>
      <c r="L41">
        <f t="shared" si="0"/>
        <v>0</v>
      </c>
    </row>
    <row r="42" spans="1:12" s="2" customFormat="1" x14ac:dyDescent="0.3">
      <c r="A42" s="2">
        <v>30</v>
      </c>
      <c r="B42" s="2">
        <v>5</v>
      </c>
      <c r="C42" s="3">
        <v>100</v>
      </c>
      <c r="D42" s="2">
        <v>1.1499999999999999</v>
      </c>
      <c r="E42" s="2">
        <v>0</v>
      </c>
      <c r="F42" s="2">
        <v>0</v>
      </c>
      <c r="G42" s="2">
        <v>0.06</v>
      </c>
      <c r="H42" s="2">
        <v>1</v>
      </c>
      <c r="I42" s="2">
        <v>1</v>
      </c>
      <c r="J42" s="3">
        <v>1</v>
      </c>
      <c r="K42" s="5">
        <f>AVERAGE(G33:G42)</f>
        <v>6.1600000000000009E-2</v>
      </c>
      <c r="L42" s="2">
        <f t="shared" si="0"/>
        <v>0</v>
      </c>
    </row>
    <row r="43" spans="1:12" x14ac:dyDescent="0.3">
      <c r="A43">
        <v>40</v>
      </c>
      <c r="B43">
        <v>2</v>
      </c>
      <c r="C43" s="1">
        <v>10</v>
      </c>
      <c r="D43">
        <v>1.1499999999999999</v>
      </c>
      <c r="E43">
        <v>4</v>
      </c>
      <c r="F43">
        <v>4</v>
      </c>
      <c r="G43">
        <v>4.5999999999999999E-2</v>
      </c>
      <c r="H43">
        <v>0</v>
      </c>
      <c r="I43">
        <v>0</v>
      </c>
      <c r="J43" s="1">
        <v>1</v>
      </c>
      <c r="L43">
        <f t="shared" si="0"/>
        <v>0</v>
      </c>
    </row>
    <row r="44" spans="1:12" x14ac:dyDescent="0.3">
      <c r="A44">
        <v>40</v>
      </c>
      <c r="B44">
        <v>2</v>
      </c>
      <c r="C44" s="1">
        <v>20</v>
      </c>
      <c r="D44">
        <v>1.1499999999999999</v>
      </c>
      <c r="E44">
        <v>4</v>
      </c>
      <c r="F44">
        <v>4</v>
      </c>
      <c r="G44">
        <v>4.4999999999999998E-2</v>
      </c>
      <c r="H44">
        <v>0</v>
      </c>
      <c r="I44">
        <v>0</v>
      </c>
      <c r="J44" s="1">
        <v>1</v>
      </c>
      <c r="L44">
        <f t="shared" si="0"/>
        <v>0</v>
      </c>
    </row>
    <row r="45" spans="1:12" x14ac:dyDescent="0.3">
      <c r="A45">
        <v>40</v>
      </c>
      <c r="B45">
        <v>2</v>
      </c>
      <c r="C45" s="1">
        <v>30</v>
      </c>
      <c r="D45">
        <v>1.1499999999999999</v>
      </c>
      <c r="E45">
        <v>4</v>
      </c>
      <c r="F45">
        <v>4</v>
      </c>
      <c r="G45">
        <v>4.7E-2</v>
      </c>
      <c r="H45">
        <v>0</v>
      </c>
      <c r="I45">
        <v>0</v>
      </c>
      <c r="J45" s="1">
        <v>1</v>
      </c>
      <c r="L45">
        <f t="shared" si="0"/>
        <v>0</v>
      </c>
    </row>
    <row r="46" spans="1:12" x14ac:dyDescent="0.3">
      <c r="A46">
        <v>40</v>
      </c>
      <c r="B46">
        <v>2</v>
      </c>
      <c r="C46" s="1">
        <v>40</v>
      </c>
      <c r="D46">
        <v>1.1499999999999999</v>
      </c>
      <c r="E46">
        <v>4</v>
      </c>
      <c r="F46">
        <v>4</v>
      </c>
      <c r="G46">
        <v>4.5999999999999999E-2</v>
      </c>
      <c r="H46">
        <v>0</v>
      </c>
      <c r="I46">
        <v>0</v>
      </c>
      <c r="J46" s="1">
        <v>1</v>
      </c>
      <c r="L46">
        <f t="shared" si="0"/>
        <v>0</v>
      </c>
    </row>
    <row r="47" spans="1:12" x14ac:dyDescent="0.3">
      <c r="A47">
        <v>40</v>
      </c>
      <c r="B47">
        <v>2</v>
      </c>
      <c r="C47" s="1">
        <v>50</v>
      </c>
      <c r="D47">
        <v>1.1499999999999999</v>
      </c>
      <c r="E47">
        <v>4</v>
      </c>
      <c r="F47">
        <v>4</v>
      </c>
      <c r="G47">
        <v>5.1999999999999998E-2</v>
      </c>
      <c r="H47">
        <v>0</v>
      </c>
      <c r="I47">
        <v>0</v>
      </c>
      <c r="J47" s="1">
        <v>1</v>
      </c>
      <c r="L47">
        <f t="shared" si="0"/>
        <v>0</v>
      </c>
    </row>
    <row r="48" spans="1:12" x14ac:dyDescent="0.3">
      <c r="A48">
        <v>40</v>
      </c>
      <c r="B48">
        <v>2</v>
      </c>
      <c r="C48" s="1">
        <v>60</v>
      </c>
      <c r="D48">
        <v>1.1499999999999999</v>
      </c>
      <c r="E48">
        <v>4</v>
      </c>
      <c r="F48">
        <v>4</v>
      </c>
      <c r="G48">
        <v>5.0999999999999997E-2</v>
      </c>
      <c r="H48">
        <v>0</v>
      </c>
      <c r="I48">
        <v>0</v>
      </c>
      <c r="J48" s="1">
        <v>1</v>
      </c>
      <c r="L48">
        <f t="shared" si="0"/>
        <v>0</v>
      </c>
    </row>
    <row r="49" spans="1:12" x14ac:dyDescent="0.3">
      <c r="A49">
        <v>40</v>
      </c>
      <c r="B49">
        <v>2</v>
      </c>
      <c r="C49" s="1">
        <v>70</v>
      </c>
      <c r="D49">
        <v>1.1499999999999999</v>
      </c>
      <c r="E49">
        <v>4</v>
      </c>
      <c r="F49">
        <v>4</v>
      </c>
      <c r="G49">
        <v>4.9000000000000002E-2</v>
      </c>
      <c r="H49">
        <v>0</v>
      </c>
      <c r="I49">
        <v>0</v>
      </c>
      <c r="J49" s="1">
        <v>1</v>
      </c>
      <c r="L49">
        <f t="shared" si="0"/>
        <v>0</v>
      </c>
    </row>
    <row r="50" spans="1:12" x14ac:dyDescent="0.3">
      <c r="A50">
        <v>40</v>
      </c>
      <c r="B50">
        <v>2</v>
      </c>
      <c r="C50" s="1">
        <v>80</v>
      </c>
      <c r="D50">
        <v>1.1499999999999999</v>
      </c>
      <c r="E50">
        <v>4</v>
      </c>
      <c r="F50">
        <v>4</v>
      </c>
      <c r="G50">
        <v>4.3999999999999997E-2</v>
      </c>
      <c r="H50">
        <v>0</v>
      </c>
      <c r="I50">
        <v>0</v>
      </c>
      <c r="J50" s="1">
        <v>1</v>
      </c>
      <c r="L50">
        <f t="shared" si="0"/>
        <v>0</v>
      </c>
    </row>
    <row r="51" spans="1:12" x14ac:dyDescent="0.3">
      <c r="A51">
        <v>40</v>
      </c>
      <c r="B51">
        <v>2</v>
      </c>
      <c r="C51" s="1">
        <v>90</v>
      </c>
      <c r="D51">
        <v>1.1499999999999999</v>
      </c>
      <c r="E51">
        <v>4</v>
      </c>
      <c r="F51">
        <v>4</v>
      </c>
      <c r="G51">
        <v>4.9000000000000002E-2</v>
      </c>
      <c r="H51">
        <v>0</v>
      </c>
      <c r="I51">
        <v>0</v>
      </c>
      <c r="J51" s="1">
        <v>1</v>
      </c>
      <c r="L51">
        <f t="shared" si="0"/>
        <v>0</v>
      </c>
    </row>
    <row r="52" spans="1:12" s="2" customFormat="1" x14ac:dyDescent="0.3">
      <c r="A52" s="2">
        <v>40</v>
      </c>
      <c r="B52" s="2">
        <v>2</v>
      </c>
      <c r="C52" s="3">
        <v>100</v>
      </c>
      <c r="D52" s="2">
        <v>1.1499999999999999</v>
      </c>
      <c r="E52" s="2">
        <v>4</v>
      </c>
      <c r="F52" s="2">
        <v>4</v>
      </c>
      <c r="G52" s="2">
        <v>4.9000000000000002E-2</v>
      </c>
      <c r="H52" s="2">
        <v>0</v>
      </c>
      <c r="I52" s="2">
        <v>0</v>
      </c>
      <c r="J52" s="3">
        <v>1</v>
      </c>
      <c r="K52" s="5">
        <f>AVERAGE(G43:G52)</f>
        <v>4.7799999999999995E-2</v>
      </c>
      <c r="L52" s="2">
        <f t="shared" si="0"/>
        <v>0</v>
      </c>
    </row>
    <row r="53" spans="1:12" x14ac:dyDescent="0.3">
      <c r="A53">
        <v>40</v>
      </c>
      <c r="B53">
        <v>3</v>
      </c>
      <c r="C53" s="1">
        <v>10</v>
      </c>
      <c r="D53">
        <v>1.1499999999999999</v>
      </c>
      <c r="E53">
        <v>3</v>
      </c>
      <c r="F53">
        <v>3</v>
      </c>
      <c r="G53">
        <v>8.8999999999999996E-2</v>
      </c>
      <c r="H53">
        <v>0</v>
      </c>
      <c r="I53">
        <v>0</v>
      </c>
      <c r="J53" s="1">
        <v>1</v>
      </c>
      <c r="L53">
        <f t="shared" si="0"/>
        <v>0</v>
      </c>
    </row>
    <row r="54" spans="1:12" x14ac:dyDescent="0.3">
      <c r="A54">
        <v>40</v>
      </c>
      <c r="B54">
        <v>3</v>
      </c>
      <c r="C54" s="1">
        <v>20</v>
      </c>
      <c r="D54">
        <v>1.1499999999999999</v>
      </c>
      <c r="E54">
        <v>3</v>
      </c>
      <c r="F54">
        <v>3</v>
      </c>
      <c r="G54">
        <v>8.8999999999999996E-2</v>
      </c>
      <c r="H54">
        <v>0</v>
      </c>
      <c r="I54">
        <v>0</v>
      </c>
      <c r="J54" s="1">
        <v>1</v>
      </c>
      <c r="L54">
        <f t="shared" si="0"/>
        <v>0</v>
      </c>
    </row>
    <row r="55" spans="1:12" x14ac:dyDescent="0.3">
      <c r="A55">
        <v>40</v>
      </c>
      <c r="B55">
        <v>3</v>
      </c>
      <c r="C55" s="1">
        <v>30</v>
      </c>
      <c r="D55">
        <v>1.1499999999999999</v>
      </c>
      <c r="E55">
        <v>3</v>
      </c>
      <c r="F55">
        <v>3</v>
      </c>
      <c r="G55">
        <v>9.0999999999999998E-2</v>
      </c>
      <c r="H55">
        <v>0</v>
      </c>
      <c r="I55">
        <v>0</v>
      </c>
      <c r="J55" s="1">
        <v>1</v>
      </c>
      <c r="L55">
        <f t="shared" si="0"/>
        <v>0</v>
      </c>
    </row>
    <row r="56" spans="1:12" x14ac:dyDescent="0.3">
      <c r="A56">
        <v>40</v>
      </c>
      <c r="B56">
        <v>3</v>
      </c>
      <c r="C56" s="1">
        <v>40</v>
      </c>
      <c r="D56">
        <v>1.1499999999999999</v>
      </c>
      <c r="E56">
        <v>3</v>
      </c>
      <c r="F56">
        <v>3</v>
      </c>
      <c r="G56">
        <v>8.7999999999999995E-2</v>
      </c>
      <c r="H56">
        <v>0</v>
      </c>
      <c r="I56">
        <v>0</v>
      </c>
      <c r="J56" s="1">
        <v>1</v>
      </c>
      <c r="L56">
        <f t="shared" si="0"/>
        <v>0</v>
      </c>
    </row>
    <row r="57" spans="1:12" x14ac:dyDescent="0.3">
      <c r="A57">
        <v>40</v>
      </c>
      <c r="B57">
        <v>3</v>
      </c>
      <c r="C57" s="1">
        <v>50</v>
      </c>
      <c r="D57">
        <v>1.1499999999999999</v>
      </c>
      <c r="E57">
        <v>3</v>
      </c>
      <c r="F57">
        <v>3</v>
      </c>
      <c r="G57">
        <v>8.8999999999999996E-2</v>
      </c>
      <c r="H57">
        <v>0</v>
      </c>
      <c r="I57">
        <v>0</v>
      </c>
      <c r="J57" s="1">
        <v>1</v>
      </c>
      <c r="L57">
        <f t="shared" si="0"/>
        <v>0</v>
      </c>
    </row>
    <row r="58" spans="1:12" x14ac:dyDescent="0.3">
      <c r="A58">
        <v>40</v>
      </c>
      <c r="B58">
        <v>3</v>
      </c>
      <c r="C58" s="1">
        <v>60</v>
      </c>
      <c r="D58">
        <v>1.1499999999999999</v>
      </c>
      <c r="E58">
        <v>3</v>
      </c>
      <c r="F58">
        <v>3</v>
      </c>
      <c r="G58">
        <v>0.105</v>
      </c>
      <c r="H58">
        <v>0</v>
      </c>
      <c r="I58">
        <v>0</v>
      </c>
      <c r="J58" s="1">
        <v>1</v>
      </c>
      <c r="L58">
        <f t="shared" si="0"/>
        <v>0</v>
      </c>
    </row>
    <row r="59" spans="1:12" x14ac:dyDescent="0.3">
      <c r="A59">
        <v>40</v>
      </c>
      <c r="B59">
        <v>3</v>
      </c>
      <c r="C59" s="1">
        <v>70</v>
      </c>
      <c r="D59">
        <v>1.1499999999999999</v>
      </c>
      <c r="E59">
        <v>3</v>
      </c>
      <c r="F59">
        <v>3</v>
      </c>
      <c r="G59">
        <v>9.5000000000000001E-2</v>
      </c>
      <c r="H59">
        <v>0</v>
      </c>
      <c r="I59">
        <v>0</v>
      </c>
      <c r="J59" s="1">
        <v>1</v>
      </c>
      <c r="L59">
        <f t="shared" si="0"/>
        <v>0</v>
      </c>
    </row>
    <row r="60" spans="1:12" x14ac:dyDescent="0.3">
      <c r="A60">
        <v>40</v>
      </c>
      <c r="B60">
        <v>3</v>
      </c>
      <c r="C60" s="1">
        <v>80</v>
      </c>
      <c r="D60">
        <v>1.1499999999999999</v>
      </c>
      <c r="E60">
        <v>3</v>
      </c>
      <c r="F60">
        <v>3</v>
      </c>
      <c r="G60">
        <v>8.6999999999999994E-2</v>
      </c>
      <c r="H60">
        <v>0</v>
      </c>
      <c r="I60">
        <v>0</v>
      </c>
      <c r="J60" s="1">
        <v>1</v>
      </c>
      <c r="L60">
        <f t="shared" si="0"/>
        <v>0</v>
      </c>
    </row>
    <row r="61" spans="1:12" x14ac:dyDescent="0.3">
      <c r="A61">
        <v>40</v>
      </c>
      <c r="B61">
        <v>3</v>
      </c>
      <c r="C61" s="1">
        <v>90</v>
      </c>
      <c r="D61">
        <v>1.1499999999999999</v>
      </c>
      <c r="E61">
        <v>3</v>
      </c>
      <c r="F61">
        <v>3</v>
      </c>
      <c r="G61">
        <v>0.10299999999999999</v>
      </c>
      <c r="H61">
        <v>0</v>
      </c>
      <c r="I61">
        <v>0</v>
      </c>
      <c r="J61" s="1">
        <v>1</v>
      </c>
      <c r="L61">
        <f t="shared" si="0"/>
        <v>0</v>
      </c>
    </row>
    <row r="62" spans="1:12" s="2" customFormat="1" x14ac:dyDescent="0.3">
      <c r="A62" s="2">
        <v>40</v>
      </c>
      <c r="B62" s="2">
        <v>3</v>
      </c>
      <c r="C62" s="3">
        <v>100</v>
      </c>
      <c r="D62" s="2">
        <v>1.1499999999999999</v>
      </c>
      <c r="E62" s="2">
        <v>3</v>
      </c>
      <c r="F62" s="2">
        <v>3</v>
      </c>
      <c r="G62" s="2">
        <v>8.6999999999999994E-2</v>
      </c>
      <c r="H62" s="2">
        <v>0</v>
      </c>
      <c r="I62" s="2">
        <v>0</v>
      </c>
      <c r="J62" s="3">
        <v>1</v>
      </c>
      <c r="K62" s="5">
        <f>AVERAGE(G53:G62)</f>
        <v>9.2299999999999979E-2</v>
      </c>
      <c r="L62" s="2">
        <f t="shared" si="0"/>
        <v>0</v>
      </c>
    </row>
    <row r="63" spans="1:12" x14ac:dyDescent="0.3">
      <c r="A63">
        <v>40</v>
      </c>
      <c r="B63">
        <v>4</v>
      </c>
      <c r="C63" s="1">
        <v>10</v>
      </c>
      <c r="D63">
        <v>1.1499999999999999</v>
      </c>
      <c r="E63">
        <v>2</v>
      </c>
      <c r="F63">
        <v>2</v>
      </c>
      <c r="G63">
        <v>0.111</v>
      </c>
      <c r="H63">
        <v>0</v>
      </c>
      <c r="I63">
        <v>0</v>
      </c>
      <c r="J63" s="1">
        <v>1</v>
      </c>
      <c r="L63">
        <f t="shared" si="0"/>
        <v>0</v>
      </c>
    </row>
    <row r="64" spans="1:12" x14ac:dyDescent="0.3">
      <c r="A64">
        <v>40</v>
      </c>
      <c r="B64">
        <v>4</v>
      </c>
      <c r="C64" s="1">
        <v>20</v>
      </c>
      <c r="D64">
        <v>1.1499999999999999</v>
      </c>
      <c r="E64">
        <v>2</v>
      </c>
      <c r="F64">
        <v>2</v>
      </c>
      <c r="G64">
        <v>0.108</v>
      </c>
      <c r="H64">
        <v>0</v>
      </c>
      <c r="I64">
        <v>0</v>
      </c>
      <c r="J64" s="1">
        <v>1</v>
      </c>
      <c r="L64">
        <f t="shared" si="0"/>
        <v>0</v>
      </c>
    </row>
    <row r="65" spans="1:12" x14ac:dyDescent="0.3">
      <c r="A65">
        <v>40</v>
      </c>
      <c r="B65">
        <v>4</v>
      </c>
      <c r="C65" s="1">
        <v>30</v>
      </c>
      <c r="D65">
        <v>1.1499999999999999</v>
      </c>
      <c r="E65">
        <v>2</v>
      </c>
      <c r="F65">
        <v>2</v>
      </c>
      <c r="G65">
        <v>0.12</v>
      </c>
      <c r="H65">
        <v>0</v>
      </c>
      <c r="I65">
        <v>0</v>
      </c>
      <c r="J65" s="1">
        <v>1</v>
      </c>
      <c r="L65">
        <f t="shared" si="0"/>
        <v>0</v>
      </c>
    </row>
    <row r="66" spans="1:12" x14ac:dyDescent="0.3">
      <c r="A66">
        <v>40</v>
      </c>
      <c r="B66">
        <v>4</v>
      </c>
      <c r="C66" s="1">
        <v>40</v>
      </c>
      <c r="D66">
        <v>1.1499999999999999</v>
      </c>
      <c r="E66">
        <v>2</v>
      </c>
      <c r="F66">
        <v>2</v>
      </c>
      <c r="G66">
        <v>0.124</v>
      </c>
      <c r="H66">
        <v>0</v>
      </c>
      <c r="I66">
        <v>0</v>
      </c>
      <c r="J66" s="1">
        <v>1</v>
      </c>
      <c r="L66">
        <f t="shared" si="0"/>
        <v>0</v>
      </c>
    </row>
    <row r="67" spans="1:12" x14ac:dyDescent="0.3">
      <c r="A67">
        <v>40</v>
      </c>
      <c r="B67">
        <v>4</v>
      </c>
      <c r="C67" s="1">
        <v>50</v>
      </c>
      <c r="D67">
        <v>1.1499999999999999</v>
      </c>
      <c r="E67">
        <v>2</v>
      </c>
      <c r="F67">
        <v>2</v>
      </c>
      <c r="G67">
        <v>0.123</v>
      </c>
      <c r="H67">
        <v>0</v>
      </c>
      <c r="I67">
        <v>0</v>
      </c>
      <c r="J67" s="1">
        <v>1</v>
      </c>
      <c r="L67">
        <f t="shared" ref="L67:L130" si="1">IF(ISBLANK(E67),IF(ISBLANK(F67),"",100), IF(E67+F67=0, 0, IF(G67=3600, IF(E67=F67,1,(E67-F67)/E67*100), 0)))</f>
        <v>0</v>
      </c>
    </row>
    <row r="68" spans="1:12" x14ac:dyDescent="0.3">
      <c r="A68">
        <v>40</v>
      </c>
      <c r="B68">
        <v>4</v>
      </c>
      <c r="C68" s="1">
        <v>60</v>
      </c>
      <c r="D68">
        <v>1.1499999999999999</v>
      </c>
      <c r="E68">
        <v>2</v>
      </c>
      <c r="F68">
        <v>2</v>
      </c>
      <c r="G68">
        <v>0.125</v>
      </c>
      <c r="H68">
        <v>0</v>
      </c>
      <c r="I68">
        <v>0</v>
      </c>
      <c r="J68" s="1">
        <v>1</v>
      </c>
      <c r="L68">
        <f t="shared" si="1"/>
        <v>0</v>
      </c>
    </row>
    <row r="69" spans="1:12" x14ac:dyDescent="0.3">
      <c r="A69">
        <v>40</v>
      </c>
      <c r="B69">
        <v>4</v>
      </c>
      <c r="C69" s="1">
        <v>70</v>
      </c>
      <c r="D69">
        <v>1.1499999999999999</v>
      </c>
      <c r="E69">
        <v>2</v>
      </c>
      <c r="F69">
        <v>2</v>
      </c>
      <c r="G69">
        <v>0.105</v>
      </c>
      <c r="H69">
        <v>0</v>
      </c>
      <c r="I69">
        <v>0</v>
      </c>
      <c r="J69" s="1">
        <v>1</v>
      </c>
      <c r="L69">
        <f t="shared" si="1"/>
        <v>0</v>
      </c>
    </row>
    <row r="70" spans="1:12" x14ac:dyDescent="0.3">
      <c r="A70">
        <v>40</v>
      </c>
      <c r="B70">
        <v>4</v>
      </c>
      <c r="C70" s="1">
        <v>80</v>
      </c>
      <c r="D70">
        <v>1.1499999999999999</v>
      </c>
      <c r="E70">
        <v>2</v>
      </c>
      <c r="F70">
        <v>2</v>
      </c>
      <c r="G70">
        <v>0.111</v>
      </c>
      <c r="H70">
        <v>0</v>
      </c>
      <c r="I70">
        <v>0</v>
      </c>
      <c r="J70" s="1">
        <v>1</v>
      </c>
      <c r="L70">
        <f t="shared" si="1"/>
        <v>0</v>
      </c>
    </row>
    <row r="71" spans="1:12" x14ac:dyDescent="0.3">
      <c r="A71">
        <v>40</v>
      </c>
      <c r="B71">
        <v>4</v>
      </c>
      <c r="C71" s="1">
        <v>90</v>
      </c>
      <c r="D71">
        <v>1.1499999999999999</v>
      </c>
      <c r="E71">
        <v>2</v>
      </c>
      <c r="F71">
        <v>2</v>
      </c>
      <c r="G71">
        <v>0.123</v>
      </c>
      <c r="H71">
        <v>0</v>
      </c>
      <c r="I71">
        <v>0</v>
      </c>
      <c r="J71" s="1">
        <v>1</v>
      </c>
      <c r="L71">
        <f t="shared" si="1"/>
        <v>0</v>
      </c>
    </row>
    <row r="72" spans="1:12" s="2" customFormat="1" x14ac:dyDescent="0.3">
      <c r="A72" s="2">
        <v>40</v>
      </c>
      <c r="B72" s="2">
        <v>4</v>
      </c>
      <c r="C72" s="3">
        <v>100</v>
      </c>
      <c r="D72" s="2">
        <v>1.1499999999999999</v>
      </c>
      <c r="E72" s="2">
        <v>2</v>
      </c>
      <c r="F72" s="2">
        <v>2</v>
      </c>
      <c r="G72" s="2">
        <v>0.122</v>
      </c>
      <c r="H72" s="2">
        <v>0</v>
      </c>
      <c r="I72" s="2">
        <v>0</v>
      </c>
      <c r="J72" s="3">
        <v>1</v>
      </c>
      <c r="K72" s="5">
        <f>AVERAGE(G63:G72)</f>
        <v>0.11719999999999997</v>
      </c>
      <c r="L72" s="2">
        <f t="shared" si="1"/>
        <v>0</v>
      </c>
    </row>
    <row r="73" spans="1:12" x14ac:dyDescent="0.3">
      <c r="A73">
        <v>40</v>
      </c>
      <c r="B73">
        <v>5</v>
      </c>
      <c r="C73" s="1">
        <v>10</v>
      </c>
      <c r="D73">
        <v>1.1499999999999999</v>
      </c>
      <c r="E73">
        <v>2</v>
      </c>
      <c r="F73">
        <v>2</v>
      </c>
      <c r="G73">
        <v>0.251</v>
      </c>
      <c r="H73">
        <v>0</v>
      </c>
      <c r="I73">
        <v>2</v>
      </c>
      <c r="J73" s="1">
        <v>1</v>
      </c>
      <c r="L73">
        <f t="shared" si="1"/>
        <v>0</v>
      </c>
    </row>
    <row r="74" spans="1:12" x14ac:dyDescent="0.3">
      <c r="A74">
        <v>40</v>
      </c>
      <c r="B74">
        <v>5</v>
      </c>
      <c r="C74" s="1">
        <v>20</v>
      </c>
      <c r="D74">
        <v>1.1499999999999999</v>
      </c>
      <c r="E74">
        <v>1</v>
      </c>
      <c r="F74">
        <v>1</v>
      </c>
      <c r="G74">
        <v>0.156</v>
      </c>
      <c r="H74">
        <v>0</v>
      </c>
      <c r="I74">
        <v>0</v>
      </c>
      <c r="J74" s="1">
        <v>1</v>
      </c>
      <c r="L74">
        <f t="shared" si="1"/>
        <v>0</v>
      </c>
    </row>
    <row r="75" spans="1:12" x14ac:dyDescent="0.3">
      <c r="A75">
        <v>40</v>
      </c>
      <c r="B75">
        <v>5</v>
      </c>
      <c r="C75" s="1">
        <v>30</v>
      </c>
      <c r="D75">
        <v>1.1499999999999999</v>
      </c>
      <c r="E75">
        <v>2</v>
      </c>
      <c r="F75">
        <v>2</v>
      </c>
      <c r="G75">
        <v>0.43</v>
      </c>
      <c r="H75">
        <v>0</v>
      </c>
      <c r="I75">
        <v>1</v>
      </c>
      <c r="J75" s="1">
        <v>2</v>
      </c>
      <c r="L75">
        <f t="shared" si="1"/>
        <v>0</v>
      </c>
    </row>
    <row r="76" spans="1:12" x14ac:dyDescent="0.3">
      <c r="A76">
        <v>40</v>
      </c>
      <c r="B76">
        <v>5</v>
      </c>
      <c r="C76" s="1">
        <v>40</v>
      </c>
      <c r="D76">
        <v>1.1499999999999999</v>
      </c>
      <c r="E76">
        <v>1</v>
      </c>
      <c r="F76">
        <v>1</v>
      </c>
      <c r="G76">
        <v>0.17100000000000001</v>
      </c>
      <c r="H76">
        <v>0</v>
      </c>
      <c r="I76">
        <v>0</v>
      </c>
      <c r="J76" s="1">
        <v>1</v>
      </c>
      <c r="L76">
        <f t="shared" si="1"/>
        <v>0</v>
      </c>
    </row>
    <row r="77" spans="1:12" x14ac:dyDescent="0.3">
      <c r="A77">
        <v>40</v>
      </c>
      <c r="B77">
        <v>5</v>
      </c>
      <c r="C77" s="1">
        <v>50</v>
      </c>
      <c r="D77">
        <v>1.1499999999999999</v>
      </c>
      <c r="E77">
        <v>2</v>
      </c>
      <c r="F77">
        <v>2</v>
      </c>
      <c r="G77">
        <v>0.29799999999999999</v>
      </c>
      <c r="H77">
        <v>0</v>
      </c>
      <c r="I77">
        <v>1</v>
      </c>
      <c r="J77" s="1">
        <v>2</v>
      </c>
      <c r="L77">
        <f t="shared" si="1"/>
        <v>0</v>
      </c>
    </row>
    <row r="78" spans="1:12" x14ac:dyDescent="0.3">
      <c r="A78">
        <v>40</v>
      </c>
      <c r="B78">
        <v>5</v>
      </c>
      <c r="C78" s="1">
        <v>60</v>
      </c>
      <c r="D78">
        <v>1.1499999999999999</v>
      </c>
      <c r="E78">
        <v>1</v>
      </c>
      <c r="F78">
        <v>1</v>
      </c>
      <c r="G78">
        <v>0.16600000000000001</v>
      </c>
      <c r="H78">
        <v>0</v>
      </c>
      <c r="I78">
        <v>0</v>
      </c>
      <c r="J78" s="1">
        <v>1</v>
      </c>
      <c r="L78">
        <f t="shared" si="1"/>
        <v>0</v>
      </c>
    </row>
    <row r="79" spans="1:12" x14ac:dyDescent="0.3">
      <c r="A79">
        <v>40</v>
      </c>
      <c r="B79">
        <v>5</v>
      </c>
      <c r="C79" s="1">
        <v>70</v>
      </c>
      <c r="D79">
        <v>1.1499999999999999</v>
      </c>
      <c r="E79">
        <v>1</v>
      </c>
      <c r="F79">
        <v>1</v>
      </c>
      <c r="G79">
        <v>0.16700000000000001</v>
      </c>
      <c r="H79">
        <v>0</v>
      </c>
      <c r="I79">
        <v>0</v>
      </c>
      <c r="J79" s="1">
        <v>1</v>
      </c>
      <c r="L79">
        <f t="shared" si="1"/>
        <v>0</v>
      </c>
    </row>
    <row r="80" spans="1:12" x14ac:dyDescent="0.3">
      <c r="A80">
        <v>40</v>
      </c>
      <c r="B80">
        <v>5</v>
      </c>
      <c r="C80" s="1">
        <v>80</v>
      </c>
      <c r="D80">
        <v>1.1499999999999999</v>
      </c>
      <c r="E80">
        <v>2</v>
      </c>
      <c r="F80">
        <v>2</v>
      </c>
      <c r="G80">
        <v>0.23499999999999999</v>
      </c>
      <c r="H80">
        <v>0</v>
      </c>
      <c r="I80">
        <v>1</v>
      </c>
      <c r="J80" s="1">
        <v>1</v>
      </c>
      <c r="L80">
        <f t="shared" si="1"/>
        <v>0</v>
      </c>
    </row>
    <row r="81" spans="1:12" x14ac:dyDescent="0.3">
      <c r="A81">
        <v>40</v>
      </c>
      <c r="B81">
        <v>5</v>
      </c>
      <c r="C81" s="1">
        <v>90</v>
      </c>
      <c r="D81">
        <v>1.1499999999999999</v>
      </c>
      <c r="E81">
        <v>2</v>
      </c>
      <c r="F81">
        <v>2</v>
      </c>
      <c r="G81">
        <v>0.65200000000000002</v>
      </c>
      <c r="H81">
        <v>0</v>
      </c>
      <c r="I81">
        <v>3</v>
      </c>
      <c r="J81" s="1">
        <v>4</v>
      </c>
      <c r="L81">
        <f t="shared" si="1"/>
        <v>0</v>
      </c>
    </row>
    <row r="82" spans="1:12" s="2" customFormat="1" x14ac:dyDescent="0.3">
      <c r="A82" s="2">
        <v>40</v>
      </c>
      <c r="B82" s="2">
        <v>5</v>
      </c>
      <c r="C82" s="3">
        <v>100</v>
      </c>
      <c r="D82" s="2">
        <v>1.1499999999999999</v>
      </c>
      <c r="E82" s="2">
        <v>1</v>
      </c>
      <c r="F82" s="2">
        <v>1</v>
      </c>
      <c r="G82" s="2">
        <v>0.17199999999999999</v>
      </c>
      <c r="H82" s="2">
        <v>0</v>
      </c>
      <c r="I82" s="2">
        <v>0</v>
      </c>
      <c r="J82" s="3">
        <v>1</v>
      </c>
      <c r="K82" s="5">
        <f>AVERAGE(G73:G82)</f>
        <v>0.26980000000000004</v>
      </c>
      <c r="L82" s="2">
        <f t="shared" si="1"/>
        <v>0</v>
      </c>
    </row>
    <row r="83" spans="1:12" x14ac:dyDescent="0.3">
      <c r="A83">
        <v>50</v>
      </c>
      <c r="B83">
        <v>2</v>
      </c>
      <c r="C83" s="1">
        <v>10</v>
      </c>
      <c r="D83">
        <v>1.1499999999999999</v>
      </c>
      <c r="E83">
        <v>5</v>
      </c>
      <c r="F83">
        <v>5</v>
      </c>
      <c r="G83">
        <v>0.10100000000000001</v>
      </c>
      <c r="H83">
        <v>0</v>
      </c>
      <c r="I83">
        <v>0</v>
      </c>
      <c r="J83" s="1">
        <v>1</v>
      </c>
      <c r="L83">
        <f t="shared" si="1"/>
        <v>0</v>
      </c>
    </row>
    <row r="84" spans="1:12" x14ac:dyDescent="0.3">
      <c r="A84">
        <v>50</v>
      </c>
      <c r="B84">
        <v>2</v>
      </c>
      <c r="C84" s="1">
        <v>20</v>
      </c>
      <c r="D84">
        <v>1.1499999999999999</v>
      </c>
      <c r="E84">
        <v>5</v>
      </c>
      <c r="F84">
        <v>5</v>
      </c>
      <c r="G84">
        <v>0.11700000000000001</v>
      </c>
      <c r="H84">
        <v>0</v>
      </c>
      <c r="I84">
        <v>0</v>
      </c>
      <c r="J84" s="1">
        <v>1</v>
      </c>
      <c r="L84">
        <f t="shared" si="1"/>
        <v>0</v>
      </c>
    </row>
    <row r="85" spans="1:12" x14ac:dyDescent="0.3">
      <c r="A85">
        <v>50</v>
      </c>
      <c r="B85">
        <v>2</v>
      </c>
      <c r="C85" s="1">
        <v>30</v>
      </c>
      <c r="D85">
        <v>1.1499999999999999</v>
      </c>
      <c r="E85">
        <v>5</v>
      </c>
      <c r="F85">
        <v>5</v>
      </c>
      <c r="G85">
        <v>6.2E-2</v>
      </c>
      <c r="H85">
        <v>0</v>
      </c>
      <c r="I85">
        <v>0</v>
      </c>
      <c r="J85" s="1">
        <v>1</v>
      </c>
      <c r="L85">
        <f t="shared" si="1"/>
        <v>0</v>
      </c>
    </row>
    <row r="86" spans="1:12" x14ac:dyDescent="0.3">
      <c r="A86">
        <v>50</v>
      </c>
      <c r="B86">
        <v>2</v>
      </c>
      <c r="C86" s="1">
        <v>40</v>
      </c>
      <c r="D86">
        <v>1.1499999999999999</v>
      </c>
      <c r="E86">
        <v>5</v>
      </c>
      <c r="F86">
        <v>5</v>
      </c>
      <c r="G86">
        <v>9.6000000000000002E-2</v>
      </c>
      <c r="H86">
        <v>0</v>
      </c>
      <c r="I86">
        <v>0</v>
      </c>
      <c r="J86" s="1">
        <v>1</v>
      </c>
      <c r="L86">
        <f t="shared" si="1"/>
        <v>0</v>
      </c>
    </row>
    <row r="87" spans="1:12" x14ac:dyDescent="0.3">
      <c r="A87">
        <v>50</v>
      </c>
      <c r="B87">
        <v>2</v>
      </c>
      <c r="C87" s="1">
        <v>50</v>
      </c>
      <c r="D87">
        <v>1.1499999999999999</v>
      </c>
      <c r="E87">
        <v>5</v>
      </c>
      <c r="F87">
        <v>5</v>
      </c>
      <c r="G87">
        <v>0.107</v>
      </c>
      <c r="H87">
        <v>0</v>
      </c>
      <c r="I87">
        <v>0</v>
      </c>
      <c r="J87" s="1">
        <v>1</v>
      </c>
      <c r="L87">
        <f t="shared" si="1"/>
        <v>0</v>
      </c>
    </row>
    <row r="88" spans="1:12" x14ac:dyDescent="0.3">
      <c r="A88">
        <v>50</v>
      </c>
      <c r="B88">
        <v>2</v>
      </c>
      <c r="C88" s="1">
        <v>60</v>
      </c>
      <c r="D88">
        <v>1.1499999999999999</v>
      </c>
      <c r="E88">
        <v>5</v>
      </c>
      <c r="F88">
        <v>5</v>
      </c>
      <c r="G88">
        <v>8.2000000000000003E-2</v>
      </c>
      <c r="H88">
        <v>0</v>
      </c>
      <c r="I88">
        <v>0</v>
      </c>
      <c r="J88" s="1">
        <v>1</v>
      </c>
      <c r="L88">
        <f t="shared" si="1"/>
        <v>0</v>
      </c>
    </row>
    <row r="89" spans="1:12" x14ac:dyDescent="0.3">
      <c r="A89">
        <v>50</v>
      </c>
      <c r="B89">
        <v>2</v>
      </c>
      <c r="C89" s="1">
        <v>70</v>
      </c>
      <c r="D89">
        <v>1.1499999999999999</v>
      </c>
      <c r="E89">
        <v>5</v>
      </c>
      <c r="F89">
        <v>5</v>
      </c>
      <c r="G89">
        <v>8.4000000000000005E-2</v>
      </c>
      <c r="H89">
        <v>0</v>
      </c>
      <c r="I89">
        <v>0</v>
      </c>
      <c r="J89" s="1">
        <v>1</v>
      </c>
      <c r="L89">
        <f t="shared" si="1"/>
        <v>0</v>
      </c>
    </row>
    <row r="90" spans="1:12" x14ac:dyDescent="0.3">
      <c r="A90">
        <v>50</v>
      </c>
      <c r="B90">
        <v>2</v>
      </c>
      <c r="C90" s="1">
        <v>80</v>
      </c>
      <c r="D90">
        <v>1.1499999999999999</v>
      </c>
      <c r="E90">
        <v>5</v>
      </c>
      <c r="F90">
        <v>5</v>
      </c>
      <c r="G90">
        <v>9.5000000000000001E-2</v>
      </c>
      <c r="H90">
        <v>0</v>
      </c>
      <c r="I90">
        <v>0</v>
      </c>
      <c r="J90" s="1">
        <v>1</v>
      </c>
      <c r="L90">
        <f t="shared" si="1"/>
        <v>0</v>
      </c>
    </row>
    <row r="91" spans="1:12" x14ac:dyDescent="0.3">
      <c r="A91">
        <v>50</v>
      </c>
      <c r="B91">
        <v>2</v>
      </c>
      <c r="C91" s="1">
        <v>90</v>
      </c>
      <c r="D91">
        <v>1.1499999999999999</v>
      </c>
      <c r="E91">
        <v>5</v>
      </c>
      <c r="F91">
        <v>5</v>
      </c>
      <c r="G91">
        <v>0.11799999999999999</v>
      </c>
      <c r="H91">
        <v>0</v>
      </c>
      <c r="I91">
        <v>0</v>
      </c>
      <c r="J91" s="1">
        <v>1</v>
      </c>
      <c r="L91">
        <f t="shared" si="1"/>
        <v>0</v>
      </c>
    </row>
    <row r="92" spans="1:12" s="2" customFormat="1" x14ac:dyDescent="0.3">
      <c r="A92" s="2">
        <v>50</v>
      </c>
      <c r="B92" s="2">
        <v>2</v>
      </c>
      <c r="C92" s="3">
        <v>100</v>
      </c>
      <c r="D92" s="2">
        <v>1.1499999999999999</v>
      </c>
      <c r="E92" s="2">
        <v>5</v>
      </c>
      <c r="F92" s="2">
        <v>5</v>
      </c>
      <c r="G92" s="2">
        <v>0.1</v>
      </c>
      <c r="H92" s="2">
        <v>0</v>
      </c>
      <c r="I92" s="2">
        <v>0</v>
      </c>
      <c r="J92" s="3">
        <v>1</v>
      </c>
      <c r="K92" s="5">
        <f>AVERAGE(G83:G92)</f>
        <v>9.619999999999998E-2</v>
      </c>
      <c r="L92" s="2">
        <f t="shared" si="1"/>
        <v>0</v>
      </c>
    </row>
    <row r="93" spans="1:12" x14ac:dyDescent="0.3">
      <c r="A93">
        <v>50</v>
      </c>
      <c r="B93">
        <v>3</v>
      </c>
      <c r="C93" s="1">
        <v>10</v>
      </c>
      <c r="D93">
        <v>1.1499999999999999</v>
      </c>
      <c r="E93">
        <v>4</v>
      </c>
      <c r="F93">
        <v>4</v>
      </c>
      <c r="G93">
        <v>0.187</v>
      </c>
      <c r="H93">
        <v>0</v>
      </c>
      <c r="I93">
        <v>0</v>
      </c>
      <c r="J93" s="1">
        <v>1</v>
      </c>
      <c r="L93">
        <f t="shared" si="1"/>
        <v>0</v>
      </c>
    </row>
    <row r="94" spans="1:12" x14ac:dyDescent="0.3">
      <c r="A94">
        <v>50</v>
      </c>
      <c r="B94">
        <v>3</v>
      </c>
      <c r="C94" s="1">
        <v>20</v>
      </c>
      <c r="D94">
        <v>1.1499999999999999</v>
      </c>
      <c r="E94">
        <v>4</v>
      </c>
      <c r="F94">
        <v>4</v>
      </c>
      <c r="G94">
        <v>0.185</v>
      </c>
      <c r="H94">
        <v>0</v>
      </c>
      <c r="I94">
        <v>0</v>
      </c>
      <c r="J94" s="1">
        <v>1</v>
      </c>
      <c r="L94">
        <f t="shared" si="1"/>
        <v>0</v>
      </c>
    </row>
    <row r="95" spans="1:12" x14ac:dyDescent="0.3">
      <c r="A95">
        <v>50</v>
      </c>
      <c r="B95">
        <v>3</v>
      </c>
      <c r="C95" s="1">
        <v>30</v>
      </c>
      <c r="D95">
        <v>1.1499999999999999</v>
      </c>
      <c r="E95">
        <v>4</v>
      </c>
      <c r="F95">
        <v>4</v>
      </c>
      <c r="G95">
        <v>0.153</v>
      </c>
      <c r="H95">
        <v>0</v>
      </c>
      <c r="I95">
        <v>0</v>
      </c>
      <c r="J95" s="1">
        <v>1</v>
      </c>
      <c r="L95">
        <f t="shared" si="1"/>
        <v>0</v>
      </c>
    </row>
    <row r="96" spans="1:12" x14ac:dyDescent="0.3">
      <c r="A96">
        <v>50</v>
      </c>
      <c r="B96">
        <v>3</v>
      </c>
      <c r="C96" s="1">
        <v>40</v>
      </c>
      <c r="D96">
        <v>1.1499999999999999</v>
      </c>
      <c r="E96">
        <v>4</v>
      </c>
      <c r="F96">
        <v>4</v>
      </c>
      <c r="G96">
        <v>0.191</v>
      </c>
      <c r="H96">
        <v>0</v>
      </c>
      <c r="I96">
        <v>0</v>
      </c>
      <c r="J96" s="1">
        <v>1</v>
      </c>
      <c r="L96">
        <f t="shared" si="1"/>
        <v>0</v>
      </c>
    </row>
    <row r="97" spans="1:12" x14ac:dyDescent="0.3">
      <c r="A97">
        <v>50</v>
      </c>
      <c r="B97">
        <v>3</v>
      </c>
      <c r="C97" s="1">
        <v>50</v>
      </c>
      <c r="D97">
        <v>1.1499999999999999</v>
      </c>
      <c r="E97">
        <v>4</v>
      </c>
      <c r="F97">
        <v>4</v>
      </c>
      <c r="G97">
        <v>0.19500000000000001</v>
      </c>
      <c r="H97">
        <v>0</v>
      </c>
      <c r="I97">
        <v>0</v>
      </c>
      <c r="J97" s="1">
        <v>1</v>
      </c>
      <c r="L97">
        <f t="shared" si="1"/>
        <v>0</v>
      </c>
    </row>
    <row r="98" spans="1:12" x14ac:dyDescent="0.3">
      <c r="A98">
        <v>50</v>
      </c>
      <c r="B98">
        <v>3</v>
      </c>
      <c r="C98" s="1">
        <v>60</v>
      </c>
      <c r="D98">
        <v>1.1499999999999999</v>
      </c>
      <c r="E98">
        <v>4</v>
      </c>
      <c r="F98">
        <v>4</v>
      </c>
      <c r="G98">
        <v>0.16700000000000001</v>
      </c>
      <c r="H98">
        <v>0</v>
      </c>
      <c r="I98">
        <v>0</v>
      </c>
      <c r="J98" s="1">
        <v>1</v>
      </c>
      <c r="L98">
        <f t="shared" si="1"/>
        <v>0</v>
      </c>
    </row>
    <row r="99" spans="1:12" x14ac:dyDescent="0.3">
      <c r="A99">
        <v>50</v>
      </c>
      <c r="B99">
        <v>3</v>
      </c>
      <c r="C99" s="1">
        <v>70</v>
      </c>
      <c r="D99">
        <v>1.1499999999999999</v>
      </c>
      <c r="E99">
        <v>4</v>
      </c>
      <c r="F99">
        <v>4</v>
      </c>
      <c r="G99">
        <v>0.17499999999999999</v>
      </c>
      <c r="H99">
        <v>0</v>
      </c>
      <c r="I99">
        <v>0</v>
      </c>
      <c r="J99" s="1">
        <v>1</v>
      </c>
      <c r="L99">
        <f t="shared" si="1"/>
        <v>0</v>
      </c>
    </row>
    <row r="100" spans="1:12" x14ac:dyDescent="0.3">
      <c r="A100">
        <v>50</v>
      </c>
      <c r="B100">
        <v>3</v>
      </c>
      <c r="C100" s="1">
        <v>80</v>
      </c>
      <c r="D100">
        <v>1.1499999999999999</v>
      </c>
      <c r="E100">
        <v>4</v>
      </c>
      <c r="F100">
        <v>4</v>
      </c>
      <c r="G100">
        <v>0.16600000000000001</v>
      </c>
      <c r="H100">
        <v>0</v>
      </c>
      <c r="I100">
        <v>0</v>
      </c>
      <c r="J100" s="1">
        <v>1</v>
      </c>
      <c r="L100">
        <f t="shared" si="1"/>
        <v>0</v>
      </c>
    </row>
    <row r="101" spans="1:12" x14ac:dyDescent="0.3">
      <c r="A101">
        <v>50</v>
      </c>
      <c r="B101">
        <v>3</v>
      </c>
      <c r="C101" s="1">
        <v>90</v>
      </c>
      <c r="D101">
        <v>1.1499999999999999</v>
      </c>
      <c r="E101">
        <v>4</v>
      </c>
      <c r="F101">
        <v>4</v>
      </c>
      <c r="G101">
        <v>0.221</v>
      </c>
      <c r="H101">
        <v>0</v>
      </c>
      <c r="I101">
        <v>0</v>
      </c>
      <c r="J101" s="1">
        <v>1</v>
      </c>
      <c r="L101">
        <f t="shared" si="1"/>
        <v>0</v>
      </c>
    </row>
    <row r="102" spans="1:12" s="2" customFormat="1" x14ac:dyDescent="0.3">
      <c r="A102" s="2">
        <v>50</v>
      </c>
      <c r="B102" s="2">
        <v>3</v>
      </c>
      <c r="C102" s="3">
        <v>100</v>
      </c>
      <c r="D102" s="2">
        <v>1.1499999999999999</v>
      </c>
      <c r="E102" s="2">
        <v>4</v>
      </c>
      <c r="F102" s="2">
        <v>4</v>
      </c>
      <c r="G102" s="2">
        <v>0.2</v>
      </c>
      <c r="H102" s="2">
        <v>0</v>
      </c>
      <c r="I102" s="2">
        <v>0</v>
      </c>
      <c r="J102" s="3">
        <v>1</v>
      </c>
      <c r="K102" s="5">
        <f>AVERAGE(G93:G102)</f>
        <v>0.184</v>
      </c>
      <c r="L102" s="2">
        <f t="shared" si="1"/>
        <v>0</v>
      </c>
    </row>
    <row r="103" spans="1:12" x14ac:dyDescent="0.3">
      <c r="A103">
        <v>50</v>
      </c>
      <c r="B103">
        <v>4</v>
      </c>
      <c r="C103" s="1">
        <v>10</v>
      </c>
      <c r="D103">
        <v>1.1499999999999999</v>
      </c>
      <c r="E103">
        <v>3</v>
      </c>
      <c r="F103">
        <v>3</v>
      </c>
      <c r="G103">
        <v>0.17</v>
      </c>
      <c r="H103">
        <v>0</v>
      </c>
      <c r="I103">
        <v>0</v>
      </c>
      <c r="J103" s="1">
        <v>1</v>
      </c>
      <c r="L103">
        <f t="shared" si="1"/>
        <v>0</v>
      </c>
    </row>
    <row r="104" spans="1:12" x14ac:dyDescent="0.3">
      <c r="A104">
        <v>50</v>
      </c>
      <c r="B104">
        <v>4</v>
      </c>
      <c r="C104" s="1">
        <v>20</v>
      </c>
      <c r="D104">
        <v>1.1499999999999999</v>
      </c>
      <c r="E104">
        <v>3</v>
      </c>
      <c r="F104">
        <v>3</v>
      </c>
      <c r="G104">
        <v>0.17</v>
      </c>
      <c r="H104">
        <v>0</v>
      </c>
      <c r="I104">
        <v>0</v>
      </c>
      <c r="J104" s="1">
        <v>1</v>
      </c>
      <c r="L104">
        <f t="shared" si="1"/>
        <v>0</v>
      </c>
    </row>
    <row r="105" spans="1:12" x14ac:dyDescent="0.3">
      <c r="A105">
        <v>50</v>
      </c>
      <c r="B105">
        <v>4</v>
      </c>
      <c r="C105" s="1">
        <v>30</v>
      </c>
      <c r="D105">
        <v>1.1499999999999999</v>
      </c>
      <c r="E105">
        <v>3</v>
      </c>
      <c r="F105">
        <v>3</v>
      </c>
      <c r="G105">
        <v>0.156</v>
      </c>
      <c r="H105">
        <v>0</v>
      </c>
      <c r="I105">
        <v>0</v>
      </c>
      <c r="J105" s="1">
        <v>1</v>
      </c>
      <c r="L105">
        <f t="shared" si="1"/>
        <v>0</v>
      </c>
    </row>
    <row r="106" spans="1:12" x14ac:dyDescent="0.3">
      <c r="A106">
        <v>50</v>
      </c>
      <c r="B106">
        <v>4</v>
      </c>
      <c r="C106" s="1">
        <v>40</v>
      </c>
      <c r="D106">
        <v>1.1499999999999999</v>
      </c>
      <c r="E106">
        <v>3</v>
      </c>
      <c r="F106">
        <v>3</v>
      </c>
      <c r="G106">
        <v>0.17100000000000001</v>
      </c>
      <c r="H106">
        <v>0</v>
      </c>
      <c r="I106">
        <v>0</v>
      </c>
      <c r="J106" s="1">
        <v>1</v>
      </c>
      <c r="L106">
        <f t="shared" si="1"/>
        <v>0</v>
      </c>
    </row>
    <row r="107" spans="1:12" x14ac:dyDescent="0.3">
      <c r="A107">
        <v>50</v>
      </c>
      <c r="B107">
        <v>4</v>
      </c>
      <c r="C107" s="1">
        <v>50</v>
      </c>
      <c r="D107">
        <v>1.1499999999999999</v>
      </c>
      <c r="E107">
        <v>3</v>
      </c>
      <c r="F107">
        <v>3</v>
      </c>
      <c r="G107">
        <v>0.185</v>
      </c>
      <c r="H107">
        <v>0</v>
      </c>
      <c r="I107">
        <v>0</v>
      </c>
      <c r="J107" s="1">
        <v>1</v>
      </c>
      <c r="L107">
        <f t="shared" si="1"/>
        <v>0</v>
      </c>
    </row>
    <row r="108" spans="1:12" x14ac:dyDescent="0.3">
      <c r="A108">
        <v>50</v>
      </c>
      <c r="B108">
        <v>4</v>
      </c>
      <c r="C108" s="1">
        <v>60</v>
      </c>
      <c r="D108">
        <v>1.1499999999999999</v>
      </c>
      <c r="E108">
        <v>3</v>
      </c>
      <c r="F108">
        <v>3</v>
      </c>
      <c r="G108">
        <v>0.17</v>
      </c>
      <c r="H108">
        <v>0</v>
      </c>
      <c r="I108">
        <v>0</v>
      </c>
      <c r="J108" s="1">
        <v>1</v>
      </c>
      <c r="L108">
        <f t="shared" si="1"/>
        <v>0</v>
      </c>
    </row>
    <row r="109" spans="1:12" x14ac:dyDescent="0.3">
      <c r="A109">
        <v>50</v>
      </c>
      <c r="B109">
        <v>4</v>
      </c>
      <c r="C109" s="1">
        <v>70</v>
      </c>
      <c r="D109">
        <v>1.1499999999999999</v>
      </c>
      <c r="E109">
        <v>3</v>
      </c>
      <c r="F109">
        <v>3</v>
      </c>
      <c r="G109">
        <v>0.154</v>
      </c>
      <c r="H109">
        <v>0</v>
      </c>
      <c r="I109">
        <v>0</v>
      </c>
      <c r="J109" s="1">
        <v>1</v>
      </c>
      <c r="L109">
        <f t="shared" si="1"/>
        <v>0</v>
      </c>
    </row>
    <row r="110" spans="1:12" x14ac:dyDescent="0.3">
      <c r="A110">
        <v>50</v>
      </c>
      <c r="B110">
        <v>4</v>
      </c>
      <c r="C110" s="1">
        <v>80</v>
      </c>
      <c r="D110">
        <v>1.1499999999999999</v>
      </c>
      <c r="E110">
        <v>3</v>
      </c>
      <c r="F110">
        <v>3</v>
      </c>
      <c r="G110">
        <v>0.154</v>
      </c>
      <c r="H110">
        <v>0</v>
      </c>
      <c r="I110">
        <v>0</v>
      </c>
      <c r="J110" s="1">
        <v>1</v>
      </c>
      <c r="L110">
        <f t="shared" si="1"/>
        <v>0</v>
      </c>
    </row>
    <row r="111" spans="1:12" x14ac:dyDescent="0.3">
      <c r="A111">
        <v>50</v>
      </c>
      <c r="B111">
        <v>4</v>
      </c>
      <c r="C111" s="1">
        <v>90</v>
      </c>
      <c r="D111">
        <v>1.1499999999999999</v>
      </c>
      <c r="E111">
        <v>3</v>
      </c>
      <c r="F111">
        <v>3</v>
      </c>
      <c r="G111">
        <v>0.17</v>
      </c>
      <c r="H111">
        <v>0</v>
      </c>
      <c r="I111">
        <v>0</v>
      </c>
      <c r="J111" s="1">
        <v>1</v>
      </c>
      <c r="L111">
        <f t="shared" si="1"/>
        <v>0</v>
      </c>
    </row>
    <row r="112" spans="1:12" s="2" customFormat="1" x14ac:dyDescent="0.3">
      <c r="A112" s="2">
        <v>50</v>
      </c>
      <c r="B112" s="2">
        <v>4</v>
      </c>
      <c r="C112" s="3">
        <v>100</v>
      </c>
      <c r="D112" s="2">
        <v>1.1499999999999999</v>
      </c>
      <c r="E112" s="2">
        <v>3</v>
      </c>
      <c r="F112" s="2">
        <v>3</v>
      </c>
      <c r="G112" s="2">
        <v>0.188</v>
      </c>
      <c r="H112" s="2">
        <v>0</v>
      </c>
      <c r="I112" s="2">
        <v>0</v>
      </c>
      <c r="J112" s="3">
        <v>1</v>
      </c>
      <c r="K112" s="5">
        <f>AVERAGE(G103:G112)</f>
        <v>0.16879999999999998</v>
      </c>
      <c r="L112" s="2">
        <f t="shared" si="1"/>
        <v>0</v>
      </c>
    </row>
    <row r="113" spans="1:12" x14ac:dyDescent="0.3">
      <c r="A113">
        <v>50</v>
      </c>
      <c r="B113">
        <v>5</v>
      </c>
      <c r="C113" s="1">
        <v>10</v>
      </c>
      <c r="D113">
        <v>1.1499999999999999</v>
      </c>
      <c r="E113">
        <v>2</v>
      </c>
      <c r="F113">
        <v>2</v>
      </c>
      <c r="G113">
        <v>0.27800000000000002</v>
      </c>
      <c r="H113">
        <v>0</v>
      </c>
      <c r="I113">
        <v>0</v>
      </c>
      <c r="J113" s="1">
        <v>1</v>
      </c>
      <c r="L113">
        <f t="shared" si="1"/>
        <v>0</v>
      </c>
    </row>
    <row r="114" spans="1:12" x14ac:dyDescent="0.3">
      <c r="A114">
        <v>50</v>
      </c>
      <c r="B114">
        <v>5</v>
      </c>
      <c r="C114" s="1">
        <v>20</v>
      </c>
      <c r="D114">
        <v>1.1499999999999999</v>
      </c>
      <c r="E114">
        <v>2</v>
      </c>
      <c r="F114">
        <v>2</v>
      </c>
      <c r="G114">
        <v>0.251</v>
      </c>
      <c r="H114">
        <v>0</v>
      </c>
      <c r="I114">
        <v>0</v>
      </c>
      <c r="J114" s="1">
        <v>1</v>
      </c>
      <c r="L114">
        <f t="shared" si="1"/>
        <v>0</v>
      </c>
    </row>
    <row r="115" spans="1:12" x14ac:dyDescent="0.3">
      <c r="A115">
        <v>50</v>
      </c>
      <c r="B115">
        <v>5</v>
      </c>
      <c r="C115" s="1">
        <v>30</v>
      </c>
      <c r="D115">
        <v>1.1499999999999999</v>
      </c>
      <c r="E115">
        <v>2</v>
      </c>
      <c r="F115">
        <v>2</v>
      </c>
      <c r="G115">
        <v>0.248</v>
      </c>
      <c r="H115">
        <v>0</v>
      </c>
      <c r="I115">
        <v>0</v>
      </c>
      <c r="J115" s="1">
        <v>1</v>
      </c>
      <c r="L115">
        <f t="shared" si="1"/>
        <v>0</v>
      </c>
    </row>
    <row r="116" spans="1:12" x14ac:dyDescent="0.3">
      <c r="A116">
        <v>50</v>
      </c>
      <c r="B116">
        <v>5</v>
      </c>
      <c r="C116" s="1">
        <v>40</v>
      </c>
      <c r="D116">
        <v>1.1499999999999999</v>
      </c>
      <c r="E116">
        <v>2</v>
      </c>
      <c r="F116">
        <v>2</v>
      </c>
      <c r="G116">
        <v>0.26400000000000001</v>
      </c>
      <c r="H116">
        <v>0</v>
      </c>
      <c r="I116">
        <v>0</v>
      </c>
      <c r="J116" s="1">
        <v>1</v>
      </c>
      <c r="L116">
        <f t="shared" si="1"/>
        <v>0</v>
      </c>
    </row>
    <row r="117" spans="1:12" x14ac:dyDescent="0.3">
      <c r="A117">
        <v>50</v>
      </c>
      <c r="B117">
        <v>5</v>
      </c>
      <c r="C117" s="1">
        <v>50</v>
      </c>
      <c r="D117">
        <v>1.1499999999999999</v>
      </c>
      <c r="E117">
        <v>2</v>
      </c>
      <c r="F117">
        <v>2</v>
      </c>
      <c r="G117">
        <v>0.27700000000000002</v>
      </c>
      <c r="H117">
        <v>0</v>
      </c>
      <c r="I117">
        <v>0</v>
      </c>
      <c r="J117" s="1">
        <v>1</v>
      </c>
      <c r="L117">
        <f t="shared" si="1"/>
        <v>0</v>
      </c>
    </row>
    <row r="118" spans="1:12" x14ac:dyDescent="0.3">
      <c r="A118">
        <v>50</v>
      </c>
      <c r="B118">
        <v>5</v>
      </c>
      <c r="C118" s="1">
        <v>60</v>
      </c>
      <c r="D118">
        <v>1.1499999999999999</v>
      </c>
      <c r="E118">
        <v>2</v>
      </c>
      <c r="F118">
        <v>2</v>
      </c>
      <c r="G118">
        <v>0.26200000000000001</v>
      </c>
      <c r="H118">
        <v>0</v>
      </c>
      <c r="I118">
        <v>0</v>
      </c>
      <c r="J118" s="1">
        <v>1</v>
      </c>
      <c r="L118">
        <f t="shared" si="1"/>
        <v>0</v>
      </c>
    </row>
    <row r="119" spans="1:12" x14ac:dyDescent="0.3">
      <c r="A119">
        <v>50</v>
      </c>
      <c r="B119">
        <v>5</v>
      </c>
      <c r="C119" s="1">
        <v>70</v>
      </c>
      <c r="D119">
        <v>1.1499999999999999</v>
      </c>
      <c r="E119">
        <v>2</v>
      </c>
      <c r="F119">
        <v>2</v>
      </c>
      <c r="G119">
        <v>0.23499999999999999</v>
      </c>
      <c r="H119">
        <v>0</v>
      </c>
      <c r="I119">
        <v>0</v>
      </c>
      <c r="J119" s="1">
        <v>1</v>
      </c>
      <c r="L119">
        <f t="shared" si="1"/>
        <v>0</v>
      </c>
    </row>
    <row r="120" spans="1:12" x14ac:dyDescent="0.3">
      <c r="A120">
        <v>50</v>
      </c>
      <c r="B120">
        <v>5</v>
      </c>
      <c r="C120" s="1">
        <v>80</v>
      </c>
      <c r="D120">
        <v>1.1499999999999999</v>
      </c>
      <c r="E120">
        <v>2</v>
      </c>
      <c r="F120">
        <v>2</v>
      </c>
      <c r="G120">
        <v>0.27700000000000002</v>
      </c>
      <c r="H120">
        <v>0</v>
      </c>
      <c r="I120">
        <v>0</v>
      </c>
      <c r="J120" s="1">
        <v>1</v>
      </c>
      <c r="L120">
        <f t="shared" si="1"/>
        <v>0</v>
      </c>
    </row>
    <row r="121" spans="1:12" x14ac:dyDescent="0.3">
      <c r="A121">
        <v>50</v>
      </c>
      <c r="B121">
        <v>5</v>
      </c>
      <c r="C121" s="1">
        <v>90</v>
      </c>
      <c r="D121">
        <v>1.1499999999999999</v>
      </c>
      <c r="E121">
        <v>3</v>
      </c>
      <c r="F121">
        <v>3</v>
      </c>
      <c r="G121">
        <v>0.34300000000000003</v>
      </c>
      <c r="H121">
        <v>0</v>
      </c>
      <c r="I121">
        <v>0</v>
      </c>
      <c r="J121" s="1">
        <v>1</v>
      </c>
      <c r="L121">
        <f t="shared" si="1"/>
        <v>0</v>
      </c>
    </row>
    <row r="122" spans="1:12" s="2" customFormat="1" x14ac:dyDescent="0.3">
      <c r="A122" s="2">
        <v>50</v>
      </c>
      <c r="B122" s="2">
        <v>5</v>
      </c>
      <c r="C122" s="3">
        <v>100</v>
      </c>
      <c r="D122" s="2">
        <v>1.1499999999999999</v>
      </c>
      <c r="E122" s="2">
        <v>3</v>
      </c>
      <c r="F122" s="2">
        <v>3</v>
      </c>
      <c r="G122" s="2">
        <v>16.594999999999999</v>
      </c>
      <c r="H122" s="2">
        <v>0</v>
      </c>
      <c r="I122" s="2">
        <v>2</v>
      </c>
      <c r="J122" s="3">
        <v>3</v>
      </c>
      <c r="K122" s="5">
        <f>AVERAGE(G113:G122)</f>
        <v>1.9029999999999998</v>
      </c>
      <c r="L122" s="2">
        <f t="shared" si="1"/>
        <v>0</v>
      </c>
    </row>
    <row r="123" spans="1:12" x14ac:dyDescent="0.3">
      <c r="A123">
        <v>60</v>
      </c>
      <c r="B123">
        <v>2</v>
      </c>
      <c r="C123" s="1">
        <v>10</v>
      </c>
      <c r="D123">
        <v>1.1499999999999999</v>
      </c>
      <c r="E123">
        <v>6</v>
      </c>
      <c r="F123">
        <v>6</v>
      </c>
      <c r="G123">
        <v>0.28000000000000003</v>
      </c>
      <c r="H123">
        <v>0</v>
      </c>
      <c r="I123">
        <v>0</v>
      </c>
      <c r="J123" s="1">
        <v>1</v>
      </c>
      <c r="L123">
        <f t="shared" si="1"/>
        <v>0</v>
      </c>
    </row>
    <row r="124" spans="1:12" x14ac:dyDescent="0.3">
      <c r="A124">
        <v>60</v>
      </c>
      <c r="B124">
        <v>2</v>
      </c>
      <c r="C124" s="1">
        <v>20</v>
      </c>
      <c r="D124">
        <v>1.1499999999999999</v>
      </c>
      <c r="E124">
        <v>6</v>
      </c>
      <c r="F124">
        <v>6</v>
      </c>
      <c r="G124">
        <v>0.30599999999999999</v>
      </c>
      <c r="H124">
        <v>0</v>
      </c>
      <c r="I124">
        <v>0</v>
      </c>
      <c r="J124" s="1">
        <v>1</v>
      </c>
      <c r="L124">
        <f t="shared" si="1"/>
        <v>0</v>
      </c>
    </row>
    <row r="125" spans="1:12" x14ac:dyDescent="0.3">
      <c r="A125">
        <v>60</v>
      </c>
      <c r="B125">
        <v>2</v>
      </c>
      <c r="C125" s="1">
        <v>30</v>
      </c>
      <c r="D125">
        <v>1.1499999999999999</v>
      </c>
      <c r="E125">
        <v>6</v>
      </c>
      <c r="F125">
        <v>6</v>
      </c>
      <c r="G125">
        <v>0.25600000000000001</v>
      </c>
      <c r="H125">
        <v>0</v>
      </c>
      <c r="I125">
        <v>0</v>
      </c>
      <c r="J125" s="1">
        <v>1</v>
      </c>
      <c r="L125">
        <f t="shared" si="1"/>
        <v>0</v>
      </c>
    </row>
    <row r="126" spans="1:12" x14ac:dyDescent="0.3">
      <c r="A126">
        <v>60</v>
      </c>
      <c r="B126">
        <v>2</v>
      </c>
      <c r="C126" s="1">
        <v>40</v>
      </c>
      <c r="D126">
        <v>1.1499999999999999</v>
      </c>
      <c r="E126">
        <v>6</v>
      </c>
      <c r="F126">
        <v>6</v>
      </c>
      <c r="G126">
        <v>0.29499999999999998</v>
      </c>
      <c r="H126">
        <v>0</v>
      </c>
      <c r="I126">
        <v>0</v>
      </c>
      <c r="J126" s="1">
        <v>1</v>
      </c>
      <c r="L126">
        <f t="shared" si="1"/>
        <v>0</v>
      </c>
    </row>
    <row r="127" spans="1:12" x14ac:dyDescent="0.3">
      <c r="A127">
        <v>60</v>
      </c>
      <c r="B127">
        <v>2</v>
      </c>
      <c r="C127" s="1">
        <v>50</v>
      </c>
      <c r="D127">
        <v>1.1499999999999999</v>
      </c>
      <c r="E127">
        <v>6</v>
      </c>
      <c r="F127">
        <v>6</v>
      </c>
      <c r="G127">
        <v>0.37</v>
      </c>
      <c r="H127">
        <v>0</v>
      </c>
      <c r="I127">
        <v>0</v>
      </c>
      <c r="J127" s="1">
        <v>1</v>
      </c>
      <c r="L127">
        <f t="shared" si="1"/>
        <v>0</v>
      </c>
    </row>
    <row r="128" spans="1:12" x14ac:dyDescent="0.3">
      <c r="A128">
        <v>60</v>
      </c>
      <c r="B128">
        <v>2</v>
      </c>
      <c r="C128" s="1">
        <v>60</v>
      </c>
      <c r="D128">
        <v>1.1499999999999999</v>
      </c>
      <c r="E128">
        <v>6</v>
      </c>
      <c r="F128">
        <v>6</v>
      </c>
      <c r="G128">
        <v>0.29299999999999998</v>
      </c>
      <c r="H128">
        <v>0</v>
      </c>
      <c r="I128">
        <v>0</v>
      </c>
      <c r="J128" s="1">
        <v>1</v>
      </c>
      <c r="L128">
        <f t="shared" si="1"/>
        <v>0</v>
      </c>
    </row>
    <row r="129" spans="1:12" x14ac:dyDescent="0.3">
      <c r="A129">
        <v>60</v>
      </c>
      <c r="B129">
        <v>2</v>
      </c>
      <c r="C129" s="1">
        <v>70</v>
      </c>
      <c r="D129">
        <v>1.1499999999999999</v>
      </c>
      <c r="E129">
        <v>6</v>
      </c>
      <c r="F129">
        <v>6</v>
      </c>
      <c r="G129">
        <v>0.24099999999999999</v>
      </c>
      <c r="H129">
        <v>0</v>
      </c>
      <c r="I129">
        <v>0</v>
      </c>
      <c r="J129" s="1">
        <v>1</v>
      </c>
      <c r="L129">
        <f t="shared" si="1"/>
        <v>0</v>
      </c>
    </row>
    <row r="130" spans="1:12" x14ac:dyDescent="0.3">
      <c r="A130">
        <v>60</v>
      </c>
      <c r="B130">
        <v>2</v>
      </c>
      <c r="C130" s="1">
        <v>80</v>
      </c>
      <c r="D130">
        <v>1.1499999999999999</v>
      </c>
      <c r="E130">
        <v>6</v>
      </c>
      <c r="F130">
        <v>6</v>
      </c>
      <c r="G130">
        <v>0.309</v>
      </c>
      <c r="H130">
        <v>0</v>
      </c>
      <c r="I130">
        <v>0</v>
      </c>
      <c r="J130" s="1">
        <v>1</v>
      </c>
      <c r="L130">
        <f t="shared" si="1"/>
        <v>0</v>
      </c>
    </row>
    <row r="131" spans="1:12" x14ac:dyDescent="0.3">
      <c r="A131">
        <v>60</v>
      </c>
      <c r="B131">
        <v>2</v>
      </c>
      <c r="C131" s="1">
        <v>90</v>
      </c>
      <c r="D131">
        <v>1.1499999999999999</v>
      </c>
      <c r="E131">
        <v>6</v>
      </c>
      <c r="F131">
        <v>6</v>
      </c>
      <c r="G131">
        <v>0.26800000000000002</v>
      </c>
      <c r="H131">
        <v>0</v>
      </c>
      <c r="I131">
        <v>0</v>
      </c>
      <c r="J131" s="1">
        <v>1</v>
      </c>
      <c r="L131">
        <f t="shared" ref="L131:L194" si="2">IF(ISBLANK(E131),IF(ISBLANK(F131),"",100), IF(E131+F131=0, 0, IF(G131=3600, IF(E131=F131,1,(E131-F131)/E131*100), 0)))</f>
        <v>0</v>
      </c>
    </row>
    <row r="132" spans="1:12" s="2" customFormat="1" x14ac:dyDescent="0.3">
      <c r="A132" s="2">
        <v>60</v>
      </c>
      <c r="B132" s="2">
        <v>2</v>
      </c>
      <c r="C132" s="3">
        <v>100</v>
      </c>
      <c r="D132" s="2">
        <v>1.1499999999999999</v>
      </c>
      <c r="E132" s="2">
        <v>6</v>
      </c>
      <c r="F132" s="2">
        <v>6</v>
      </c>
      <c r="G132" s="2">
        <v>0.28399999999999997</v>
      </c>
      <c r="H132" s="2">
        <v>0</v>
      </c>
      <c r="I132" s="2">
        <v>0</v>
      </c>
      <c r="J132" s="3">
        <v>1</v>
      </c>
      <c r="K132" s="5">
        <f>AVERAGE(G123:G132)</f>
        <v>0.29020000000000001</v>
      </c>
      <c r="L132" s="2">
        <f t="shared" si="2"/>
        <v>0</v>
      </c>
    </row>
    <row r="133" spans="1:12" x14ac:dyDescent="0.3">
      <c r="A133">
        <v>60</v>
      </c>
      <c r="B133">
        <v>3</v>
      </c>
      <c r="C133" s="1">
        <v>10</v>
      </c>
      <c r="D133">
        <v>1.1499999999999999</v>
      </c>
      <c r="E133">
        <v>5</v>
      </c>
      <c r="F133">
        <v>5</v>
      </c>
      <c r="G133">
        <v>0.27900000000000003</v>
      </c>
      <c r="H133">
        <v>0</v>
      </c>
      <c r="I133">
        <v>0</v>
      </c>
      <c r="J133" s="1">
        <v>1</v>
      </c>
      <c r="L133">
        <f t="shared" si="2"/>
        <v>0</v>
      </c>
    </row>
    <row r="134" spans="1:12" x14ac:dyDescent="0.3">
      <c r="A134">
        <v>60</v>
      </c>
      <c r="B134">
        <v>3</v>
      </c>
      <c r="C134" s="1">
        <v>20</v>
      </c>
      <c r="D134">
        <v>1.1499999999999999</v>
      </c>
      <c r="E134">
        <v>5</v>
      </c>
      <c r="F134">
        <v>5</v>
      </c>
      <c r="G134">
        <v>0.29899999999999999</v>
      </c>
      <c r="H134">
        <v>0</v>
      </c>
      <c r="I134">
        <v>0</v>
      </c>
      <c r="J134" s="1">
        <v>1</v>
      </c>
      <c r="L134">
        <f t="shared" si="2"/>
        <v>0</v>
      </c>
    </row>
    <row r="135" spans="1:12" x14ac:dyDescent="0.3">
      <c r="A135">
        <v>60</v>
      </c>
      <c r="B135">
        <v>3</v>
      </c>
      <c r="C135" s="1">
        <v>30</v>
      </c>
      <c r="D135">
        <v>1.1499999999999999</v>
      </c>
      <c r="E135">
        <v>5</v>
      </c>
      <c r="F135">
        <v>5</v>
      </c>
      <c r="G135">
        <v>0.248</v>
      </c>
      <c r="H135">
        <v>0</v>
      </c>
      <c r="I135">
        <v>0</v>
      </c>
      <c r="J135" s="1">
        <v>1</v>
      </c>
      <c r="L135">
        <f t="shared" si="2"/>
        <v>0</v>
      </c>
    </row>
    <row r="136" spans="1:12" x14ac:dyDescent="0.3">
      <c r="A136">
        <v>60</v>
      </c>
      <c r="B136">
        <v>3</v>
      </c>
      <c r="C136" s="1">
        <v>40</v>
      </c>
      <c r="D136">
        <v>1.1499999999999999</v>
      </c>
      <c r="E136">
        <v>5</v>
      </c>
      <c r="F136">
        <v>5</v>
      </c>
      <c r="G136">
        <v>0.29799999999999999</v>
      </c>
      <c r="H136">
        <v>0</v>
      </c>
      <c r="I136">
        <v>0</v>
      </c>
      <c r="J136" s="1">
        <v>1</v>
      </c>
      <c r="L136">
        <f t="shared" si="2"/>
        <v>0</v>
      </c>
    </row>
    <row r="137" spans="1:12" x14ac:dyDescent="0.3">
      <c r="A137">
        <v>60</v>
      </c>
      <c r="B137">
        <v>3</v>
      </c>
      <c r="C137" s="1">
        <v>50</v>
      </c>
      <c r="D137">
        <v>1.1499999999999999</v>
      </c>
      <c r="E137">
        <v>5</v>
      </c>
      <c r="F137">
        <v>5</v>
      </c>
      <c r="G137">
        <v>0.33</v>
      </c>
      <c r="H137">
        <v>0</v>
      </c>
      <c r="I137">
        <v>0</v>
      </c>
      <c r="J137" s="1">
        <v>1</v>
      </c>
      <c r="L137">
        <f t="shared" si="2"/>
        <v>0</v>
      </c>
    </row>
    <row r="138" spans="1:12" x14ac:dyDescent="0.3">
      <c r="A138">
        <v>60</v>
      </c>
      <c r="B138">
        <v>3</v>
      </c>
      <c r="C138" s="1">
        <v>60</v>
      </c>
      <c r="D138">
        <v>1.1499999999999999</v>
      </c>
      <c r="E138">
        <v>5</v>
      </c>
      <c r="F138">
        <v>5</v>
      </c>
      <c r="G138">
        <v>0.33100000000000002</v>
      </c>
      <c r="H138">
        <v>0</v>
      </c>
      <c r="I138">
        <v>0</v>
      </c>
      <c r="J138" s="1">
        <v>1</v>
      </c>
      <c r="L138">
        <f t="shared" si="2"/>
        <v>0</v>
      </c>
    </row>
    <row r="139" spans="1:12" x14ac:dyDescent="0.3">
      <c r="A139">
        <v>60</v>
      </c>
      <c r="B139">
        <v>3</v>
      </c>
      <c r="C139" s="1">
        <v>70</v>
      </c>
      <c r="D139">
        <v>1.1499999999999999</v>
      </c>
      <c r="E139">
        <v>5</v>
      </c>
      <c r="F139">
        <v>5</v>
      </c>
      <c r="G139">
        <v>0.25600000000000001</v>
      </c>
      <c r="H139">
        <v>0</v>
      </c>
      <c r="I139">
        <v>0</v>
      </c>
      <c r="J139" s="1">
        <v>1</v>
      </c>
      <c r="L139">
        <f t="shared" si="2"/>
        <v>0</v>
      </c>
    </row>
    <row r="140" spans="1:12" x14ac:dyDescent="0.3">
      <c r="A140">
        <v>60</v>
      </c>
      <c r="B140">
        <v>3</v>
      </c>
      <c r="C140" s="1">
        <v>80</v>
      </c>
      <c r="D140">
        <v>1.1499999999999999</v>
      </c>
      <c r="E140">
        <v>5</v>
      </c>
      <c r="F140">
        <v>5</v>
      </c>
      <c r="G140">
        <v>0.29799999999999999</v>
      </c>
      <c r="H140">
        <v>0</v>
      </c>
      <c r="I140">
        <v>0</v>
      </c>
      <c r="J140" s="1">
        <v>1</v>
      </c>
      <c r="L140">
        <f t="shared" si="2"/>
        <v>0</v>
      </c>
    </row>
    <row r="141" spans="1:12" x14ac:dyDescent="0.3">
      <c r="A141">
        <v>60</v>
      </c>
      <c r="B141">
        <v>3</v>
      </c>
      <c r="C141" s="1">
        <v>90</v>
      </c>
      <c r="D141">
        <v>1.1499999999999999</v>
      </c>
      <c r="E141">
        <v>5</v>
      </c>
      <c r="F141">
        <v>5</v>
      </c>
      <c r="G141">
        <v>0.27800000000000002</v>
      </c>
      <c r="H141">
        <v>0</v>
      </c>
      <c r="I141">
        <v>0</v>
      </c>
      <c r="J141" s="1">
        <v>1</v>
      </c>
      <c r="L141">
        <f t="shared" si="2"/>
        <v>0</v>
      </c>
    </row>
    <row r="142" spans="1:12" s="2" customFormat="1" x14ac:dyDescent="0.3">
      <c r="A142" s="2">
        <v>60</v>
      </c>
      <c r="B142" s="2">
        <v>3</v>
      </c>
      <c r="C142" s="3">
        <v>100</v>
      </c>
      <c r="D142" s="2">
        <v>1.1499999999999999</v>
      </c>
      <c r="E142" s="2">
        <v>5</v>
      </c>
      <c r="F142" s="2">
        <v>5</v>
      </c>
      <c r="G142" s="2">
        <v>0.25700000000000001</v>
      </c>
      <c r="H142" s="2">
        <v>0</v>
      </c>
      <c r="I142" s="2">
        <v>0</v>
      </c>
      <c r="J142" s="3">
        <v>1</v>
      </c>
      <c r="K142" s="5">
        <f>AVERAGE(G133:G142)</f>
        <v>0.28740000000000004</v>
      </c>
      <c r="L142" s="2">
        <f t="shared" si="2"/>
        <v>0</v>
      </c>
    </row>
    <row r="143" spans="1:12" x14ac:dyDescent="0.3">
      <c r="A143">
        <v>60</v>
      </c>
      <c r="B143">
        <v>4</v>
      </c>
      <c r="C143" s="1">
        <v>10</v>
      </c>
      <c r="D143">
        <v>1.1499999999999999</v>
      </c>
      <c r="E143">
        <v>4</v>
      </c>
      <c r="F143">
        <v>4</v>
      </c>
      <c r="G143">
        <v>0.53900000000000003</v>
      </c>
      <c r="H143">
        <v>0</v>
      </c>
      <c r="I143">
        <v>0</v>
      </c>
      <c r="J143" s="1">
        <v>1</v>
      </c>
      <c r="L143">
        <f t="shared" si="2"/>
        <v>0</v>
      </c>
    </row>
    <row r="144" spans="1:12" x14ac:dyDescent="0.3">
      <c r="A144">
        <v>60</v>
      </c>
      <c r="B144">
        <v>4</v>
      </c>
      <c r="C144" s="1">
        <v>20</v>
      </c>
      <c r="D144">
        <v>1.1499999999999999</v>
      </c>
      <c r="E144">
        <v>4</v>
      </c>
      <c r="F144">
        <v>4</v>
      </c>
      <c r="G144">
        <v>0.54800000000000004</v>
      </c>
      <c r="H144">
        <v>0</v>
      </c>
      <c r="I144">
        <v>0</v>
      </c>
      <c r="J144" s="1">
        <v>1</v>
      </c>
      <c r="L144">
        <f t="shared" si="2"/>
        <v>0</v>
      </c>
    </row>
    <row r="145" spans="1:12" x14ac:dyDescent="0.3">
      <c r="A145">
        <v>60</v>
      </c>
      <c r="B145">
        <v>4</v>
      </c>
      <c r="C145" s="1">
        <v>30</v>
      </c>
      <c r="D145">
        <v>1.1499999999999999</v>
      </c>
      <c r="E145">
        <v>4</v>
      </c>
      <c r="F145">
        <v>4</v>
      </c>
      <c r="G145">
        <v>0.502</v>
      </c>
      <c r="H145">
        <v>0</v>
      </c>
      <c r="I145">
        <v>0</v>
      </c>
      <c r="J145" s="1">
        <v>1</v>
      </c>
      <c r="L145">
        <f t="shared" si="2"/>
        <v>0</v>
      </c>
    </row>
    <row r="146" spans="1:12" x14ac:dyDescent="0.3">
      <c r="A146">
        <v>60</v>
      </c>
      <c r="B146">
        <v>4</v>
      </c>
      <c r="C146" s="1">
        <v>40</v>
      </c>
      <c r="D146">
        <v>1.1499999999999999</v>
      </c>
      <c r="E146">
        <v>4</v>
      </c>
      <c r="F146">
        <v>4</v>
      </c>
      <c r="G146">
        <v>0.55100000000000005</v>
      </c>
      <c r="H146">
        <v>0</v>
      </c>
      <c r="I146">
        <v>0</v>
      </c>
      <c r="J146" s="1">
        <v>1</v>
      </c>
      <c r="L146">
        <f t="shared" si="2"/>
        <v>0</v>
      </c>
    </row>
    <row r="147" spans="1:12" x14ac:dyDescent="0.3">
      <c r="A147">
        <v>60</v>
      </c>
      <c r="B147">
        <v>4</v>
      </c>
      <c r="C147" s="1">
        <v>50</v>
      </c>
      <c r="D147">
        <v>1.1499999999999999</v>
      </c>
      <c r="E147">
        <v>4</v>
      </c>
      <c r="F147">
        <v>4</v>
      </c>
      <c r="G147">
        <v>0.54200000000000004</v>
      </c>
      <c r="H147">
        <v>0</v>
      </c>
      <c r="I147">
        <v>0</v>
      </c>
      <c r="J147" s="1">
        <v>1</v>
      </c>
      <c r="L147">
        <f t="shared" si="2"/>
        <v>0</v>
      </c>
    </row>
    <row r="148" spans="1:12" x14ac:dyDescent="0.3">
      <c r="A148">
        <v>60</v>
      </c>
      <c r="B148">
        <v>4</v>
      </c>
      <c r="C148" s="1">
        <v>60</v>
      </c>
      <c r="D148">
        <v>1.1499999999999999</v>
      </c>
      <c r="E148">
        <v>4</v>
      </c>
      <c r="F148">
        <v>4</v>
      </c>
      <c r="G148">
        <v>0.55000000000000004</v>
      </c>
      <c r="H148">
        <v>0</v>
      </c>
      <c r="I148">
        <v>0</v>
      </c>
      <c r="J148" s="1">
        <v>1</v>
      </c>
      <c r="L148">
        <f t="shared" si="2"/>
        <v>0</v>
      </c>
    </row>
    <row r="149" spans="1:12" x14ac:dyDescent="0.3">
      <c r="A149">
        <v>60</v>
      </c>
      <c r="B149">
        <v>4</v>
      </c>
      <c r="C149" s="1">
        <v>70</v>
      </c>
      <c r="D149">
        <v>1.1499999999999999</v>
      </c>
      <c r="E149">
        <v>4</v>
      </c>
      <c r="F149">
        <v>4</v>
      </c>
      <c r="G149">
        <v>0.51800000000000002</v>
      </c>
      <c r="H149">
        <v>0</v>
      </c>
      <c r="I149">
        <v>0</v>
      </c>
      <c r="J149" s="1">
        <v>1</v>
      </c>
      <c r="L149">
        <f t="shared" si="2"/>
        <v>0</v>
      </c>
    </row>
    <row r="150" spans="1:12" x14ac:dyDescent="0.3">
      <c r="A150">
        <v>60</v>
      </c>
      <c r="B150">
        <v>4</v>
      </c>
      <c r="C150" s="1">
        <v>80</v>
      </c>
      <c r="D150">
        <v>1.1499999999999999</v>
      </c>
      <c r="E150">
        <v>4</v>
      </c>
      <c r="F150">
        <v>4</v>
      </c>
      <c r="G150">
        <v>0.54</v>
      </c>
      <c r="H150">
        <v>0</v>
      </c>
      <c r="I150">
        <v>0</v>
      </c>
      <c r="J150" s="1">
        <v>1</v>
      </c>
      <c r="L150">
        <f t="shared" si="2"/>
        <v>0</v>
      </c>
    </row>
    <row r="151" spans="1:12" x14ac:dyDescent="0.3">
      <c r="A151">
        <v>60</v>
      </c>
      <c r="B151">
        <v>4</v>
      </c>
      <c r="C151" s="1">
        <v>90</v>
      </c>
      <c r="D151">
        <v>1.1499999999999999</v>
      </c>
      <c r="E151">
        <v>4</v>
      </c>
      <c r="F151">
        <v>4</v>
      </c>
      <c r="G151">
        <v>0.52500000000000002</v>
      </c>
      <c r="H151">
        <v>0</v>
      </c>
      <c r="I151">
        <v>0</v>
      </c>
      <c r="J151" s="1">
        <v>1</v>
      </c>
      <c r="L151">
        <f t="shared" si="2"/>
        <v>0</v>
      </c>
    </row>
    <row r="152" spans="1:12" s="2" customFormat="1" x14ac:dyDescent="0.3">
      <c r="A152" s="2">
        <v>60</v>
      </c>
      <c r="B152" s="2">
        <v>4</v>
      </c>
      <c r="C152" s="3">
        <v>100</v>
      </c>
      <c r="D152" s="2">
        <v>1.1499999999999999</v>
      </c>
      <c r="E152" s="2">
        <v>4</v>
      </c>
      <c r="F152" s="2">
        <v>4</v>
      </c>
      <c r="G152" s="2">
        <v>0.55000000000000004</v>
      </c>
      <c r="H152" s="2">
        <v>0</v>
      </c>
      <c r="I152" s="2">
        <v>0</v>
      </c>
      <c r="J152" s="3">
        <v>1</v>
      </c>
      <c r="K152" s="5">
        <f>AVERAGE(G143:G152)</f>
        <v>0.53649999999999998</v>
      </c>
      <c r="L152" s="2">
        <f t="shared" si="2"/>
        <v>0</v>
      </c>
    </row>
    <row r="153" spans="1:12" x14ac:dyDescent="0.3">
      <c r="A153">
        <v>60</v>
      </c>
      <c r="B153">
        <v>5</v>
      </c>
      <c r="C153" s="1">
        <v>10</v>
      </c>
      <c r="D153">
        <v>1.1499999999999999</v>
      </c>
      <c r="E153">
        <v>3</v>
      </c>
      <c r="F153">
        <v>3</v>
      </c>
      <c r="G153">
        <v>0.40899999999999997</v>
      </c>
      <c r="H153">
        <v>0</v>
      </c>
      <c r="I153">
        <v>0</v>
      </c>
      <c r="J153" s="1">
        <v>1</v>
      </c>
      <c r="L153">
        <f t="shared" si="2"/>
        <v>0</v>
      </c>
    </row>
    <row r="154" spans="1:12" x14ac:dyDescent="0.3">
      <c r="A154">
        <v>60</v>
      </c>
      <c r="B154">
        <v>5</v>
      </c>
      <c r="C154" s="1">
        <v>20</v>
      </c>
      <c r="D154">
        <v>1.1499999999999999</v>
      </c>
      <c r="E154">
        <v>3</v>
      </c>
      <c r="F154">
        <v>3</v>
      </c>
      <c r="G154">
        <v>0.35399999999999998</v>
      </c>
      <c r="H154">
        <v>0</v>
      </c>
      <c r="I154">
        <v>0</v>
      </c>
      <c r="J154" s="1">
        <v>1</v>
      </c>
      <c r="L154">
        <f t="shared" si="2"/>
        <v>0</v>
      </c>
    </row>
    <row r="155" spans="1:12" x14ac:dyDescent="0.3">
      <c r="A155">
        <v>60</v>
      </c>
      <c r="B155">
        <v>5</v>
      </c>
      <c r="C155" s="1">
        <v>30</v>
      </c>
      <c r="D155">
        <v>1.1499999999999999</v>
      </c>
      <c r="E155">
        <v>3</v>
      </c>
      <c r="F155">
        <v>3</v>
      </c>
      <c r="G155">
        <v>0.35799999999999998</v>
      </c>
      <c r="H155">
        <v>0</v>
      </c>
      <c r="I155">
        <v>0</v>
      </c>
      <c r="J155" s="1">
        <v>1</v>
      </c>
      <c r="L155">
        <f t="shared" si="2"/>
        <v>0</v>
      </c>
    </row>
    <row r="156" spans="1:12" x14ac:dyDescent="0.3">
      <c r="A156">
        <v>60</v>
      </c>
      <c r="B156">
        <v>5</v>
      </c>
      <c r="C156" s="1">
        <v>40</v>
      </c>
      <c r="D156">
        <v>1.1499999999999999</v>
      </c>
      <c r="E156">
        <v>3</v>
      </c>
      <c r="F156">
        <v>3</v>
      </c>
      <c r="G156">
        <v>0.38900000000000001</v>
      </c>
      <c r="H156">
        <v>0</v>
      </c>
      <c r="I156">
        <v>0</v>
      </c>
      <c r="J156" s="1">
        <v>1</v>
      </c>
      <c r="L156">
        <f t="shared" si="2"/>
        <v>0</v>
      </c>
    </row>
    <row r="157" spans="1:12" x14ac:dyDescent="0.3">
      <c r="A157">
        <v>60</v>
      </c>
      <c r="B157">
        <v>5</v>
      </c>
      <c r="C157" s="1">
        <v>50</v>
      </c>
      <c r="D157">
        <v>1.1499999999999999</v>
      </c>
      <c r="E157">
        <v>3</v>
      </c>
      <c r="F157">
        <v>3</v>
      </c>
      <c r="G157">
        <v>0.40600000000000003</v>
      </c>
      <c r="H157">
        <v>0</v>
      </c>
      <c r="I157">
        <v>0</v>
      </c>
      <c r="J157" s="1">
        <v>1</v>
      </c>
      <c r="L157">
        <f t="shared" si="2"/>
        <v>0</v>
      </c>
    </row>
    <row r="158" spans="1:12" x14ac:dyDescent="0.3">
      <c r="A158">
        <v>60</v>
      </c>
      <c r="B158">
        <v>5</v>
      </c>
      <c r="C158" s="1">
        <v>60</v>
      </c>
      <c r="D158">
        <v>1.1499999999999999</v>
      </c>
      <c r="E158">
        <v>3</v>
      </c>
      <c r="F158">
        <v>3</v>
      </c>
      <c r="G158">
        <v>0.40200000000000002</v>
      </c>
      <c r="H158">
        <v>0</v>
      </c>
      <c r="I158">
        <v>0</v>
      </c>
      <c r="J158" s="1">
        <v>1</v>
      </c>
      <c r="L158">
        <f t="shared" si="2"/>
        <v>0</v>
      </c>
    </row>
    <row r="159" spans="1:12" x14ac:dyDescent="0.3">
      <c r="A159">
        <v>60</v>
      </c>
      <c r="B159">
        <v>5</v>
      </c>
      <c r="C159" s="1">
        <v>70</v>
      </c>
      <c r="D159">
        <v>1.1499999999999999</v>
      </c>
      <c r="E159">
        <v>3</v>
      </c>
      <c r="F159">
        <v>3</v>
      </c>
      <c r="G159">
        <v>0.35599999999999998</v>
      </c>
      <c r="H159">
        <v>0</v>
      </c>
      <c r="I159">
        <v>0</v>
      </c>
      <c r="J159" s="1">
        <v>1</v>
      </c>
      <c r="L159">
        <f t="shared" si="2"/>
        <v>0</v>
      </c>
    </row>
    <row r="160" spans="1:12" x14ac:dyDescent="0.3">
      <c r="A160">
        <v>60</v>
      </c>
      <c r="B160">
        <v>5</v>
      </c>
      <c r="C160" s="1">
        <v>80</v>
      </c>
      <c r="D160">
        <v>1.1499999999999999</v>
      </c>
      <c r="E160">
        <v>3</v>
      </c>
      <c r="F160">
        <v>3</v>
      </c>
      <c r="G160">
        <v>0.374</v>
      </c>
      <c r="H160">
        <v>0</v>
      </c>
      <c r="I160">
        <v>0</v>
      </c>
      <c r="J160" s="1">
        <v>1</v>
      </c>
      <c r="L160">
        <f t="shared" si="2"/>
        <v>0</v>
      </c>
    </row>
    <row r="161" spans="1:12" x14ac:dyDescent="0.3">
      <c r="A161">
        <v>60</v>
      </c>
      <c r="B161">
        <v>5</v>
      </c>
      <c r="C161" s="1">
        <v>90</v>
      </c>
      <c r="D161">
        <v>1.1499999999999999</v>
      </c>
      <c r="E161">
        <v>3</v>
      </c>
      <c r="F161">
        <v>3</v>
      </c>
      <c r="G161">
        <v>0.376</v>
      </c>
      <c r="H161">
        <v>0</v>
      </c>
      <c r="I161">
        <v>0</v>
      </c>
      <c r="J161" s="1">
        <v>1</v>
      </c>
      <c r="L161">
        <f t="shared" si="2"/>
        <v>0</v>
      </c>
    </row>
    <row r="162" spans="1:12" s="2" customFormat="1" x14ac:dyDescent="0.3">
      <c r="A162" s="2">
        <v>60</v>
      </c>
      <c r="B162" s="2">
        <v>5</v>
      </c>
      <c r="C162" s="3">
        <v>100</v>
      </c>
      <c r="D162" s="2">
        <v>1.1499999999999999</v>
      </c>
      <c r="E162" s="2">
        <v>3</v>
      </c>
      <c r="F162" s="2">
        <v>3</v>
      </c>
      <c r="G162" s="2">
        <v>0.39</v>
      </c>
      <c r="H162" s="2">
        <v>0</v>
      </c>
      <c r="I162" s="2">
        <v>0</v>
      </c>
      <c r="J162" s="3">
        <v>1</v>
      </c>
      <c r="K162" s="5">
        <f>AVERAGE(G153:G162)</f>
        <v>0.38140000000000002</v>
      </c>
      <c r="L162" s="2">
        <f t="shared" si="2"/>
        <v>0</v>
      </c>
    </row>
    <row r="163" spans="1:12" x14ac:dyDescent="0.3">
      <c r="A163">
        <v>70</v>
      </c>
      <c r="B163">
        <v>2</v>
      </c>
      <c r="C163" s="1">
        <v>10</v>
      </c>
      <c r="D163">
        <v>1.1499999999999999</v>
      </c>
      <c r="E163">
        <v>7</v>
      </c>
      <c r="F163">
        <v>7</v>
      </c>
      <c r="G163">
        <v>0.65200000000000002</v>
      </c>
      <c r="H163">
        <v>0</v>
      </c>
      <c r="I163">
        <v>0</v>
      </c>
      <c r="J163" s="1">
        <v>1</v>
      </c>
      <c r="L163">
        <f t="shared" si="2"/>
        <v>0</v>
      </c>
    </row>
    <row r="164" spans="1:12" x14ac:dyDescent="0.3">
      <c r="A164">
        <v>70</v>
      </c>
      <c r="B164">
        <v>2</v>
      </c>
      <c r="C164" s="1">
        <v>20</v>
      </c>
      <c r="D164">
        <v>1.1499999999999999</v>
      </c>
      <c r="E164">
        <v>7</v>
      </c>
      <c r="F164">
        <v>7</v>
      </c>
      <c r="G164">
        <v>0.61899999999999999</v>
      </c>
      <c r="H164">
        <v>0</v>
      </c>
      <c r="I164">
        <v>0</v>
      </c>
      <c r="J164" s="1">
        <v>1</v>
      </c>
      <c r="L164">
        <f t="shared" si="2"/>
        <v>0</v>
      </c>
    </row>
    <row r="165" spans="1:12" x14ac:dyDescent="0.3">
      <c r="A165">
        <v>70</v>
      </c>
      <c r="B165">
        <v>2</v>
      </c>
      <c r="C165" s="1">
        <v>30</v>
      </c>
      <c r="D165">
        <v>1.1499999999999999</v>
      </c>
      <c r="E165">
        <v>7</v>
      </c>
      <c r="F165">
        <v>7</v>
      </c>
      <c r="G165">
        <v>0.46400000000000002</v>
      </c>
      <c r="H165">
        <v>0</v>
      </c>
      <c r="I165">
        <v>0</v>
      </c>
      <c r="J165" s="1">
        <v>1</v>
      </c>
      <c r="L165">
        <f t="shared" si="2"/>
        <v>0</v>
      </c>
    </row>
    <row r="166" spans="1:12" x14ac:dyDescent="0.3">
      <c r="A166">
        <v>70</v>
      </c>
      <c r="B166">
        <v>2</v>
      </c>
      <c r="C166" s="1">
        <v>40</v>
      </c>
      <c r="D166">
        <v>1.1499999999999999</v>
      </c>
      <c r="E166">
        <v>7</v>
      </c>
      <c r="F166">
        <v>7</v>
      </c>
      <c r="G166">
        <v>0.63700000000000001</v>
      </c>
      <c r="H166">
        <v>0</v>
      </c>
      <c r="I166">
        <v>0</v>
      </c>
      <c r="J166" s="1">
        <v>1</v>
      </c>
      <c r="L166">
        <f t="shared" si="2"/>
        <v>0</v>
      </c>
    </row>
    <row r="167" spans="1:12" x14ac:dyDescent="0.3">
      <c r="A167">
        <v>70</v>
      </c>
      <c r="B167">
        <v>2</v>
      </c>
      <c r="C167" s="1">
        <v>50</v>
      </c>
      <c r="D167">
        <v>1.1499999999999999</v>
      </c>
      <c r="E167">
        <v>7</v>
      </c>
      <c r="F167">
        <v>7</v>
      </c>
      <c r="G167">
        <v>0.72</v>
      </c>
      <c r="H167">
        <v>0</v>
      </c>
      <c r="I167">
        <v>0</v>
      </c>
      <c r="J167" s="1">
        <v>1</v>
      </c>
      <c r="L167">
        <f t="shared" si="2"/>
        <v>0</v>
      </c>
    </row>
    <row r="168" spans="1:12" x14ac:dyDescent="0.3">
      <c r="A168">
        <v>70</v>
      </c>
      <c r="B168">
        <v>2</v>
      </c>
      <c r="C168" s="1">
        <v>60</v>
      </c>
      <c r="D168">
        <v>1.1499999999999999</v>
      </c>
      <c r="E168">
        <v>7</v>
      </c>
      <c r="F168">
        <v>7</v>
      </c>
      <c r="G168">
        <v>0.57799999999999996</v>
      </c>
      <c r="H168">
        <v>0</v>
      </c>
      <c r="I168">
        <v>0</v>
      </c>
      <c r="J168" s="1">
        <v>1</v>
      </c>
      <c r="L168">
        <f t="shared" si="2"/>
        <v>0</v>
      </c>
    </row>
    <row r="169" spans="1:12" x14ac:dyDescent="0.3">
      <c r="A169">
        <v>70</v>
      </c>
      <c r="B169">
        <v>2</v>
      </c>
      <c r="C169" s="1">
        <v>70</v>
      </c>
      <c r="D169">
        <v>1.1499999999999999</v>
      </c>
      <c r="E169">
        <v>7</v>
      </c>
      <c r="F169">
        <v>7</v>
      </c>
      <c r="G169">
        <v>0.36</v>
      </c>
      <c r="H169">
        <v>0</v>
      </c>
      <c r="I169">
        <v>0</v>
      </c>
      <c r="J169" s="1">
        <v>1</v>
      </c>
      <c r="L169">
        <f t="shared" si="2"/>
        <v>0</v>
      </c>
    </row>
    <row r="170" spans="1:12" x14ac:dyDescent="0.3">
      <c r="A170">
        <v>70</v>
      </c>
      <c r="B170">
        <v>2</v>
      </c>
      <c r="C170" s="1">
        <v>80</v>
      </c>
      <c r="D170">
        <v>1.1499999999999999</v>
      </c>
      <c r="E170">
        <v>7</v>
      </c>
      <c r="F170">
        <v>7</v>
      </c>
      <c r="G170">
        <v>0.67800000000000005</v>
      </c>
      <c r="H170">
        <v>0</v>
      </c>
      <c r="I170">
        <v>0</v>
      </c>
      <c r="J170" s="1">
        <v>1</v>
      </c>
      <c r="L170">
        <f t="shared" si="2"/>
        <v>0</v>
      </c>
    </row>
    <row r="171" spans="1:12" x14ac:dyDescent="0.3">
      <c r="A171">
        <v>70</v>
      </c>
      <c r="B171">
        <v>2</v>
      </c>
      <c r="C171" s="1">
        <v>90</v>
      </c>
      <c r="D171">
        <v>1.1499999999999999</v>
      </c>
      <c r="E171">
        <v>7</v>
      </c>
      <c r="F171">
        <v>7</v>
      </c>
      <c r="G171">
        <v>0.61399999999999999</v>
      </c>
      <c r="H171">
        <v>0</v>
      </c>
      <c r="I171">
        <v>0</v>
      </c>
      <c r="J171" s="1">
        <v>1</v>
      </c>
      <c r="L171">
        <f t="shared" si="2"/>
        <v>0</v>
      </c>
    </row>
    <row r="172" spans="1:12" s="2" customFormat="1" x14ac:dyDescent="0.3">
      <c r="A172" s="2">
        <v>70</v>
      </c>
      <c r="B172" s="2">
        <v>2</v>
      </c>
      <c r="C172" s="3">
        <v>100</v>
      </c>
      <c r="D172" s="2">
        <v>1.1499999999999999</v>
      </c>
      <c r="E172" s="2">
        <v>7</v>
      </c>
      <c r="F172" s="2">
        <v>7</v>
      </c>
      <c r="G172" s="2">
        <v>0.66900000000000004</v>
      </c>
      <c r="H172" s="2">
        <v>0</v>
      </c>
      <c r="I172" s="2">
        <v>0</v>
      </c>
      <c r="J172" s="3">
        <v>1</v>
      </c>
      <c r="K172" s="5">
        <f>AVERAGE(G163:G172)</f>
        <v>0.59909999999999997</v>
      </c>
      <c r="L172" s="2">
        <f t="shared" si="2"/>
        <v>0</v>
      </c>
    </row>
    <row r="173" spans="1:12" x14ac:dyDescent="0.3">
      <c r="A173">
        <v>70</v>
      </c>
      <c r="B173">
        <v>3</v>
      </c>
      <c r="C173" s="1">
        <v>10</v>
      </c>
      <c r="D173">
        <v>1.1499999999999999</v>
      </c>
      <c r="E173">
        <v>6</v>
      </c>
      <c r="F173">
        <v>6</v>
      </c>
      <c r="G173">
        <v>0.94199999999999995</v>
      </c>
      <c r="H173">
        <v>0</v>
      </c>
      <c r="I173">
        <v>0</v>
      </c>
      <c r="J173" s="1">
        <v>1</v>
      </c>
      <c r="L173">
        <f t="shared" si="2"/>
        <v>0</v>
      </c>
    </row>
    <row r="174" spans="1:12" x14ac:dyDescent="0.3">
      <c r="A174">
        <v>70</v>
      </c>
      <c r="B174">
        <v>3</v>
      </c>
      <c r="C174" s="1">
        <v>20</v>
      </c>
      <c r="D174">
        <v>1.1499999999999999</v>
      </c>
      <c r="E174">
        <v>6</v>
      </c>
      <c r="F174">
        <v>6</v>
      </c>
      <c r="G174">
        <v>0.97099999999999997</v>
      </c>
      <c r="H174">
        <v>0</v>
      </c>
      <c r="I174">
        <v>0</v>
      </c>
      <c r="J174" s="1">
        <v>1</v>
      </c>
      <c r="L174">
        <f t="shared" si="2"/>
        <v>0</v>
      </c>
    </row>
    <row r="175" spans="1:12" x14ac:dyDescent="0.3">
      <c r="A175">
        <v>70</v>
      </c>
      <c r="B175">
        <v>3</v>
      </c>
      <c r="C175" s="1">
        <v>30</v>
      </c>
      <c r="D175">
        <v>1.1499999999999999</v>
      </c>
      <c r="E175">
        <v>6</v>
      </c>
      <c r="F175">
        <v>6</v>
      </c>
      <c r="G175">
        <v>0.82399999999999995</v>
      </c>
      <c r="H175">
        <v>0</v>
      </c>
      <c r="I175">
        <v>0</v>
      </c>
      <c r="J175" s="1">
        <v>1</v>
      </c>
      <c r="L175">
        <f t="shared" si="2"/>
        <v>0</v>
      </c>
    </row>
    <row r="176" spans="1:12" x14ac:dyDescent="0.3">
      <c r="A176">
        <v>70</v>
      </c>
      <c r="B176">
        <v>3</v>
      </c>
      <c r="C176" s="1">
        <v>40</v>
      </c>
      <c r="D176">
        <v>1.1499999999999999</v>
      </c>
      <c r="E176">
        <v>6</v>
      </c>
      <c r="F176">
        <v>6</v>
      </c>
      <c r="G176">
        <v>0.98399999999999999</v>
      </c>
      <c r="H176">
        <v>0</v>
      </c>
      <c r="I176">
        <v>0</v>
      </c>
      <c r="J176" s="1">
        <v>1</v>
      </c>
      <c r="L176">
        <f t="shared" si="2"/>
        <v>0</v>
      </c>
    </row>
    <row r="177" spans="1:12" x14ac:dyDescent="0.3">
      <c r="A177">
        <v>70</v>
      </c>
      <c r="B177">
        <v>3</v>
      </c>
      <c r="C177" s="1">
        <v>50</v>
      </c>
      <c r="D177">
        <v>1.1499999999999999</v>
      </c>
      <c r="E177">
        <v>6</v>
      </c>
      <c r="F177">
        <v>6</v>
      </c>
      <c r="G177">
        <v>1.0269999999999999</v>
      </c>
      <c r="H177">
        <v>0</v>
      </c>
      <c r="I177">
        <v>0</v>
      </c>
      <c r="J177" s="1">
        <v>1</v>
      </c>
      <c r="L177">
        <f t="shared" si="2"/>
        <v>0</v>
      </c>
    </row>
    <row r="178" spans="1:12" x14ac:dyDescent="0.3">
      <c r="A178">
        <v>70</v>
      </c>
      <c r="B178">
        <v>3</v>
      </c>
      <c r="C178" s="1">
        <v>60</v>
      </c>
      <c r="D178">
        <v>1.1499999999999999</v>
      </c>
      <c r="E178">
        <v>6</v>
      </c>
      <c r="F178">
        <v>6</v>
      </c>
      <c r="G178">
        <v>0.90400000000000003</v>
      </c>
      <c r="H178">
        <v>0</v>
      </c>
      <c r="I178">
        <v>0</v>
      </c>
      <c r="J178" s="1">
        <v>1</v>
      </c>
      <c r="L178">
        <f t="shared" si="2"/>
        <v>0</v>
      </c>
    </row>
    <row r="179" spans="1:12" x14ac:dyDescent="0.3">
      <c r="A179">
        <v>70</v>
      </c>
      <c r="B179">
        <v>3</v>
      </c>
      <c r="C179" s="1">
        <v>70</v>
      </c>
      <c r="D179">
        <v>1.1499999999999999</v>
      </c>
      <c r="E179">
        <v>6</v>
      </c>
      <c r="F179">
        <v>6</v>
      </c>
      <c r="G179">
        <v>0.74099999999999999</v>
      </c>
      <c r="H179">
        <v>0</v>
      </c>
      <c r="I179">
        <v>0</v>
      </c>
      <c r="J179" s="1">
        <v>1</v>
      </c>
      <c r="L179">
        <f t="shared" si="2"/>
        <v>0</v>
      </c>
    </row>
    <row r="180" spans="1:12" x14ac:dyDescent="0.3">
      <c r="A180">
        <v>70</v>
      </c>
      <c r="B180">
        <v>3</v>
      </c>
      <c r="C180" s="1">
        <v>80</v>
      </c>
      <c r="D180">
        <v>1.1499999999999999</v>
      </c>
      <c r="E180">
        <v>6</v>
      </c>
      <c r="F180">
        <v>6</v>
      </c>
      <c r="G180">
        <v>0.94499999999999995</v>
      </c>
      <c r="H180">
        <v>0</v>
      </c>
      <c r="I180">
        <v>0</v>
      </c>
      <c r="J180" s="1">
        <v>1</v>
      </c>
      <c r="L180">
        <f t="shared" si="2"/>
        <v>0</v>
      </c>
    </row>
    <row r="181" spans="1:12" x14ac:dyDescent="0.3">
      <c r="A181">
        <v>70</v>
      </c>
      <c r="B181">
        <v>3</v>
      </c>
      <c r="C181" s="1">
        <v>90</v>
      </c>
      <c r="D181">
        <v>1.1499999999999999</v>
      </c>
      <c r="E181">
        <v>6</v>
      </c>
      <c r="F181">
        <v>6</v>
      </c>
      <c r="G181">
        <v>0.95499999999999996</v>
      </c>
      <c r="H181">
        <v>0</v>
      </c>
      <c r="I181">
        <v>0</v>
      </c>
      <c r="J181" s="1">
        <v>1</v>
      </c>
      <c r="L181">
        <f t="shared" si="2"/>
        <v>0</v>
      </c>
    </row>
    <row r="182" spans="1:12" s="2" customFormat="1" x14ac:dyDescent="0.3">
      <c r="A182" s="2">
        <v>70</v>
      </c>
      <c r="B182" s="2">
        <v>3</v>
      </c>
      <c r="C182" s="3">
        <v>100</v>
      </c>
      <c r="D182" s="2">
        <v>1.1499999999999999</v>
      </c>
      <c r="E182" s="2">
        <v>6</v>
      </c>
      <c r="F182" s="2">
        <v>6</v>
      </c>
      <c r="G182" s="2">
        <v>0.93200000000000005</v>
      </c>
      <c r="H182" s="2">
        <v>0</v>
      </c>
      <c r="I182" s="2">
        <v>0</v>
      </c>
      <c r="J182" s="3">
        <v>1</v>
      </c>
      <c r="K182" s="5">
        <f>AVERAGE(G173:G182)</f>
        <v>0.92249999999999999</v>
      </c>
      <c r="L182" s="2">
        <f t="shared" si="2"/>
        <v>0</v>
      </c>
    </row>
    <row r="183" spans="1:12" x14ac:dyDescent="0.3">
      <c r="A183">
        <v>70</v>
      </c>
      <c r="B183">
        <v>4</v>
      </c>
      <c r="C183" s="1">
        <v>10</v>
      </c>
      <c r="D183">
        <v>1.1499999999999999</v>
      </c>
      <c r="E183">
        <v>5</v>
      </c>
      <c r="F183">
        <v>5</v>
      </c>
      <c r="G183">
        <v>0.88600000000000001</v>
      </c>
      <c r="H183">
        <v>0</v>
      </c>
      <c r="I183">
        <v>0</v>
      </c>
      <c r="J183" s="1">
        <v>1</v>
      </c>
      <c r="L183">
        <f t="shared" si="2"/>
        <v>0</v>
      </c>
    </row>
    <row r="184" spans="1:12" x14ac:dyDescent="0.3">
      <c r="A184">
        <v>70</v>
      </c>
      <c r="B184">
        <v>4</v>
      </c>
      <c r="C184" s="1">
        <v>20</v>
      </c>
      <c r="D184">
        <v>1.1499999999999999</v>
      </c>
      <c r="E184">
        <v>5</v>
      </c>
      <c r="F184">
        <v>5</v>
      </c>
      <c r="G184">
        <v>0.90900000000000003</v>
      </c>
      <c r="H184">
        <v>0</v>
      </c>
      <c r="I184">
        <v>0</v>
      </c>
      <c r="J184" s="1">
        <v>1</v>
      </c>
      <c r="L184">
        <f t="shared" si="2"/>
        <v>0</v>
      </c>
    </row>
    <row r="185" spans="1:12" x14ac:dyDescent="0.3">
      <c r="A185">
        <v>70</v>
      </c>
      <c r="B185">
        <v>4</v>
      </c>
      <c r="C185" s="1">
        <v>30</v>
      </c>
      <c r="D185">
        <v>1.1499999999999999</v>
      </c>
      <c r="E185">
        <v>5</v>
      </c>
      <c r="F185">
        <v>5</v>
      </c>
      <c r="G185">
        <v>0.81100000000000005</v>
      </c>
      <c r="H185">
        <v>0</v>
      </c>
      <c r="I185">
        <v>0</v>
      </c>
      <c r="J185" s="1">
        <v>1</v>
      </c>
      <c r="L185">
        <f t="shared" si="2"/>
        <v>0</v>
      </c>
    </row>
    <row r="186" spans="1:12" x14ac:dyDescent="0.3">
      <c r="A186">
        <v>70</v>
      </c>
      <c r="B186">
        <v>4</v>
      </c>
      <c r="C186" s="1">
        <v>40</v>
      </c>
      <c r="D186">
        <v>1.1499999999999999</v>
      </c>
      <c r="E186">
        <v>5</v>
      </c>
      <c r="F186">
        <v>5</v>
      </c>
      <c r="G186">
        <v>0.92500000000000004</v>
      </c>
      <c r="H186">
        <v>0</v>
      </c>
      <c r="I186">
        <v>0</v>
      </c>
      <c r="J186" s="1">
        <v>1</v>
      </c>
      <c r="L186">
        <f t="shared" si="2"/>
        <v>0</v>
      </c>
    </row>
    <row r="187" spans="1:12" x14ac:dyDescent="0.3">
      <c r="A187">
        <v>70</v>
      </c>
      <c r="B187">
        <v>4</v>
      </c>
      <c r="C187" s="1">
        <v>50</v>
      </c>
      <c r="D187">
        <v>1.1499999999999999</v>
      </c>
      <c r="E187">
        <v>6</v>
      </c>
      <c r="F187">
        <v>6</v>
      </c>
      <c r="G187">
        <v>545.21299999999997</v>
      </c>
      <c r="H187">
        <v>0</v>
      </c>
      <c r="I187">
        <v>0</v>
      </c>
      <c r="J187" s="1">
        <v>5</v>
      </c>
      <c r="L187">
        <f t="shared" si="2"/>
        <v>0</v>
      </c>
    </row>
    <row r="188" spans="1:12" x14ac:dyDescent="0.3">
      <c r="A188">
        <v>70</v>
      </c>
      <c r="B188">
        <v>4</v>
      </c>
      <c r="C188" s="1">
        <v>60</v>
      </c>
      <c r="D188">
        <v>1.1499999999999999</v>
      </c>
      <c r="E188">
        <v>5</v>
      </c>
      <c r="F188">
        <v>5</v>
      </c>
      <c r="G188">
        <v>0.91800000000000004</v>
      </c>
      <c r="H188">
        <v>0</v>
      </c>
      <c r="I188">
        <v>0</v>
      </c>
      <c r="J188" s="1">
        <v>1</v>
      </c>
      <c r="L188">
        <f t="shared" si="2"/>
        <v>0</v>
      </c>
    </row>
    <row r="189" spans="1:12" x14ac:dyDescent="0.3">
      <c r="A189">
        <v>70</v>
      </c>
      <c r="B189">
        <v>4</v>
      </c>
      <c r="C189" s="1">
        <v>70</v>
      </c>
      <c r="D189">
        <v>1.1499999999999999</v>
      </c>
      <c r="E189">
        <v>5</v>
      </c>
      <c r="F189">
        <v>5</v>
      </c>
      <c r="G189">
        <v>0.746</v>
      </c>
      <c r="H189">
        <v>0</v>
      </c>
      <c r="I189">
        <v>0</v>
      </c>
      <c r="J189" s="1">
        <v>1</v>
      </c>
      <c r="L189">
        <f t="shared" si="2"/>
        <v>0</v>
      </c>
    </row>
    <row r="190" spans="1:12" x14ac:dyDescent="0.3">
      <c r="A190">
        <v>70</v>
      </c>
      <c r="B190">
        <v>4</v>
      </c>
      <c r="C190" s="1">
        <v>80</v>
      </c>
      <c r="D190">
        <v>1.1499999999999999</v>
      </c>
      <c r="E190">
        <v>5</v>
      </c>
      <c r="F190">
        <v>5</v>
      </c>
      <c r="G190">
        <v>0.94099999999999995</v>
      </c>
      <c r="H190">
        <v>0</v>
      </c>
      <c r="I190">
        <v>0</v>
      </c>
      <c r="J190" s="1">
        <v>1</v>
      </c>
      <c r="L190">
        <f t="shared" si="2"/>
        <v>0</v>
      </c>
    </row>
    <row r="191" spans="1:12" x14ac:dyDescent="0.3">
      <c r="A191">
        <v>70</v>
      </c>
      <c r="B191">
        <v>4</v>
      </c>
      <c r="C191" s="1">
        <v>90</v>
      </c>
      <c r="D191">
        <v>1.1499999999999999</v>
      </c>
      <c r="E191">
        <v>5</v>
      </c>
      <c r="F191">
        <v>5</v>
      </c>
      <c r="G191">
        <v>0.97899999999999998</v>
      </c>
      <c r="H191">
        <v>0</v>
      </c>
      <c r="I191">
        <v>0</v>
      </c>
      <c r="J191" s="1">
        <v>1</v>
      </c>
      <c r="L191">
        <f t="shared" si="2"/>
        <v>0</v>
      </c>
    </row>
    <row r="192" spans="1:12" s="2" customFormat="1" x14ac:dyDescent="0.3">
      <c r="A192" s="2">
        <v>70</v>
      </c>
      <c r="B192" s="2">
        <v>4</v>
      </c>
      <c r="C192" s="3">
        <v>100</v>
      </c>
      <c r="D192" s="2">
        <v>1.1499999999999999</v>
      </c>
      <c r="E192" s="2">
        <v>5</v>
      </c>
      <c r="F192" s="2">
        <v>5</v>
      </c>
      <c r="G192" s="2">
        <v>0.92700000000000005</v>
      </c>
      <c r="H192" s="2">
        <v>0</v>
      </c>
      <c r="I192" s="2">
        <v>0</v>
      </c>
      <c r="J192" s="3">
        <v>1</v>
      </c>
      <c r="K192" s="5">
        <f>AVERAGE(G183:G192)</f>
        <v>55.325499999999998</v>
      </c>
      <c r="L192" s="2">
        <f t="shared" si="2"/>
        <v>0</v>
      </c>
    </row>
    <row r="193" spans="1:12" x14ac:dyDescent="0.3">
      <c r="A193">
        <v>70</v>
      </c>
      <c r="B193">
        <v>5</v>
      </c>
      <c r="C193" s="1">
        <v>10</v>
      </c>
      <c r="D193">
        <v>1.1499999999999999</v>
      </c>
      <c r="E193">
        <v>4</v>
      </c>
      <c r="F193">
        <v>4</v>
      </c>
      <c r="G193">
        <v>0.55900000000000005</v>
      </c>
      <c r="H193">
        <v>0</v>
      </c>
      <c r="I193">
        <v>0</v>
      </c>
      <c r="J193" s="1">
        <v>1</v>
      </c>
      <c r="L193">
        <f t="shared" si="2"/>
        <v>0</v>
      </c>
    </row>
    <row r="194" spans="1:12" x14ac:dyDescent="0.3">
      <c r="A194">
        <v>70</v>
      </c>
      <c r="B194">
        <v>5</v>
      </c>
      <c r="C194" s="1">
        <v>20</v>
      </c>
      <c r="D194">
        <v>1.1499999999999999</v>
      </c>
      <c r="E194">
        <v>4</v>
      </c>
      <c r="F194">
        <v>4</v>
      </c>
      <c r="G194">
        <v>0.56200000000000006</v>
      </c>
      <c r="H194">
        <v>0</v>
      </c>
      <c r="I194">
        <v>0</v>
      </c>
      <c r="J194" s="1">
        <v>1</v>
      </c>
      <c r="L194">
        <f t="shared" si="2"/>
        <v>0</v>
      </c>
    </row>
    <row r="195" spans="1:12" x14ac:dyDescent="0.3">
      <c r="A195">
        <v>70</v>
      </c>
      <c r="B195">
        <v>5</v>
      </c>
      <c r="C195" s="1">
        <v>30</v>
      </c>
      <c r="D195">
        <v>1.1499999999999999</v>
      </c>
      <c r="E195">
        <v>4</v>
      </c>
      <c r="F195">
        <v>4</v>
      </c>
      <c r="G195">
        <v>0.54400000000000004</v>
      </c>
      <c r="H195">
        <v>0</v>
      </c>
      <c r="I195">
        <v>0</v>
      </c>
      <c r="J195" s="1">
        <v>1</v>
      </c>
      <c r="L195">
        <f t="shared" ref="L195:L242" si="3">IF(ISBLANK(E195),IF(ISBLANK(F195),"",100), IF(E195+F195=0, 0, IF(G195=3600, IF(E195=F195,1,(E195-F195)/E195*100), 0)))</f>
        <v>0</v>
      </c>
    </row>
    <row r="196" spans="1:12" x14ac:dyDescent="0.3">
      <c r="A196">
        <v>70</v>
      </c>
      <c r="B196">
        <v>5</v>
      </c>
      <c r="C196" s="1">
        <v>40</v>
      </c>
      <c r="D196">
        <v>1.1499999999999999</v>
      </c>
      <c r="E196">
        <v>4</v>
      </c>
      <c r="F196">
        <v>4</v>
      </c>
      <c r="G196">
        <v>0.54900000000000004</v>
      </c>
      <c r="H196">
        <v>0</v>
      </c>
      <c r="I196">
        <v>0</v>
      </c>
      <c r="J196" s="1">
        <v>1</v>
      </c>
      <c r="L196">
        <f t="shared" si="3"/>
        <v>0</v>
      </c>
    </row>
    <row r="197" spans="1:12" x14ac:dyDescent="0.3">
      <c r="A197">
        <v>70</v>
      </c>
      <c r="B197">
        <v>5</v>
      </c>
      <c r="C197" s="1">
        <v>50</v>
      </c>
      <c r="D197">
        <v>1.1499999999999999</v>
      </c>
      <c r="E197">
        <v>4</v>
      </c>
      <c r="F197">
        <v>4</v>
      </c>
      <c r="G197">
        <v>0.59299999999999997</v>
      </c>
      <c r="H197">
        <v>0</v>
      </c>
      <c r="I197">
        <v>0</v>
      </c>
      <c r="J197" s="1">
        <v>1</v>
      </c>
      <c r="L197">
        <f t="shared" si="3"/>
        <v>0</v>
      </c>
    </row>
    <row r="198" spans="1:12" x14ac:dyDescent="0.3">
      <c r="A198">
        <v>70</v>
      </c>
      <c r="B198">
        <v>5</v>
      </c>
      <c r="C198" s="1">
        <v>60</v>
      </c>
      <c r="D198">
        <v>1.1499999999999999</v>
      </c>
      <c r="E198">
        <v>4</v>
      </c>
      <c r="F198">
        <v>4</v>
      </c>
      <c r="G198">
        <v>0.54600000000000004</v>
      </c>
      <c r="H198">
        <v>0</v>
      </c>
      <c r="I198">
        <v>0</v>
      </c>
      <c r="J198" s="1">
        <v>1</v>
      </c>
      <c r="L198">
        <f t="shared" si="3"/>
        <v>0</v>
      </c>
    </row>
    <row r="199" spans="1:12" x14ac:dyDescent="0.3">
      <c r="A199">
        <v>70</v>
      </c>
      <c r="B199">
        <v>5</v>
      </c>
      <c r="C199" s="1">
        <v>70</v>
      </c>
      <c r="D199">
        <v>1.1499999999999999</v>
      </c>
      <c r="E199">
        <v>4</v>
      </c>
      <c r="F199">
        <v>4</v>
      </c>
      <c r="G199">
        <v>0.53100000000000003</v>
      </c>
      <c r="H199">
        <v>0</v>
      </c>
      <c r="I199">
        <v>0</v>
      </c>
      <c r="J199" s="1">
        <v>1</v>
      </c>
      <c r="L199">
        <f t="shared" si="3"/>
        <v>0</v>
      </c>
    </row>
    <row r="200" spans="1:12" x14ac:dyDescent="0.3">
      <c r="A200">
        <v>70</v>
      </c>
      <c r="B200">
        <v>5</v>
      </c>
      <c r="C200" s="1">
        <v>80</v>
      </c>
      <c r="D200">
        <v>1.1499999999999999</v>
      </c>
      <c r="E200">
        <v>4</v>
      </c>
      <c r="F200">
        <v>4</v>
      </c>
      <c r="G200">
        <v>0.57099999999999995</v>
      </c>
      <c r="H200">
        <v>0</v>
      </c>
      <c r="I200">
        <v>0</v>
      </c>
      <c r="J200" s="1">
        <v>1</v>
      </c>
      <c r="L200">
        <f t="shared" si="3"/>
        <v>0</v>
      </c>
    </row>
    <row r="201" spans="1:12" x14ac:dyDescent="0.3">
      <c r="A201">
        <v>70</v>
      </c>
      <c r="B201">
        <v>5</v>
      </c>
      <c r="C201" s="1">
        <v>90</v>
      </c>
      <c r="D201">
        <v>1.1499999999999999</v>
      </c>
      <c r="E201">
        <v>4</v>
      </c>
      <c r="F201">
        <v>4</v>
      </c>
      <c r="G201">
        <v>0.56000000000000005</v>
      </c>
      <c r="H201">
        <v>0</v>
      </c>
      <c r="I201">
        <v>0</v>
      </c>
      <c r="J201" s="1">
        <v>1</v>
      </c>
      <c r="L201">
        <f t="shared" si="3"/>
        <v>0</v>
      </c>
    </row>
    <row r="202" spans="1:12" s="2" customFormat="1" x14ac:dyDescent="0.3">
      <c r="A202" s="2">
        <v>70</v>
      </c>
      <c r="B202" s="2">
        <v>5</v>
      </c>
      <c r="C202" s="3">
        <v>100</v>
      </c>
      <c r="D202" s="2">
        <v>1.1499999999999999</v>
      </c>
      <c r="E202" s="2">
        <v>4</v>
      </c>
      <c r="F202" s="2">
        <v>4</v>
      </c>
      <c r="G202" s="2">
        <v>0.54700000000000004</v>
      </c>
      <c r="H202" s="2">
        <v>0</v>
      </c>
      <c r="I202" s="2">
        <v>0</v>
      </c>
      <c r="J202" s="3">
        <v>1</v>
      </c>
      <c r="K202" s="5">
        <f>AVERAGE(G193:G202)</f>
        <v>0.55620000000000003</v>
      </c>
      <c r="L202" s="2">
        <f t="shared" si="3"/>
        <v>0</v>
      </c>
    </row>
    <row r="203" spans="1:12" x14ac:dyDescent="0.3">
      <c r="A203">
        <v>80</v>
      </c>
      <c r="B203">
        <v>2</v>
      </c>
      <c r="C203" s="1">
        <v>10</v>
      </c>
      <c r="D203">
        <v>1.1499999999999999</v>
      </c>
      <c r="E203">
        <v>9</v>
      </c>
      <c r="F203">
        <v>9</v>
      </c>
      <c r="G203">
        <v>9.359</v>
      </c>
      <c r="H203">
        <v>0</v>
      </c>
      <c r="I203">
        <v>0</v>
      </c>
      <c r="J203" s="1">
        <v>1</v>
      </c>
      <c r="L203">
        <f t="shared" si="3"/>
        <v>0</v>
      </c>
    </row>
    <row r="204" spans="1:12" x14ac:dyDescent="0.3">
      <c r="A204">
        <v>80</v>
      </c>
      <c r="B204">
        <v>2</v>
      </c>
      <c r="C204" s="1">
        <v>20</v>
      </c>
      <c r="D204">
        <v>1.1499999999999999</v>
      </c>
      <c r="E204">
        <v>9</v>
      </c>
      <c r="F204">
        <v>9</v>
      </c>
      <c r="G204">
        <v>8.34</v>
      </c>
      <c r="H204">
        <v>0</v>
      </c>
      <c r="I204">
        <v>0</v>
      </c>
      <c r="J204" s="1">
        <v>1</v>
      </c>
      <c r="L204">
        <f t="shared" si="3"/>
        <v>0</v>
      </c>
    </row>
    <row r="205" spans="1:12" x14ac:dyDescent="0.3">
      <c r="A205">
        <v>80</v>
      </c>
      <c r="B205">
        <v>2</v>
      </c>
      <c r="C205" s="1">
        <v>30</v>
      </c>
      <c r="D205">
        <v>1.1499999999999999</v>
      </c>
      <c r="E205">
        <v>9</v>
      </c>
      <c r="F205">
        <v>9</v>
      </c>
      <c r="G205">
        <v>8.01</v>
      </c>
      <c r="H205">
        <v>0</v>
      </c>
      <c r="I205">
        <v>0</v>
      </c>
      <c r="J205" s="1">
        <v>1</v>
      </c>
      <c r="L205">
        <f t="shared" si="3"/>
        <v>0</v>
      </c>
    </row>
    <row r="206" spans="1:12" x14ac:dyDescent="0.3">
      <c r="A206">
        <v>80</v>
      </c>
      <c r="B206">
        <v>2</v>
      </c>
      <c r="C206" s="1">
        <v>40</v>
      </c>
      <c r="D206">
        <v>1.1499999999999999</v>
      </c>
      <c r="E206">
        <v>9</v>
      </c>
      <c r="F206">
        <v>9</v>
      </c>
      <c r="G206">
        <v>8.6289999999999996</v>
      </c>
      <c r="H206">
        <v>0</v>
      </c>
      <c r="I206">
        <v>0</v>
      </c>
      <c r="J206" s="1">
        <v>1</v>
      </c>
      <c r="L206">
        <f t="shared" si="3"/>
        <v>0</v>
      </c>
    </row>
    <row r="207" spans="1:12" x14ac:dyDescent="0.3">
      <c r="A207">
        <v>80</v>
      </c>
      <c r="B207">
        <v>2</v>
      </c>
      <c r="C207" s="1">
        <v>50</v>
      </c>
      <c r="D207">
        <v>1.1499999999999999</v>
      </c>
      <c r="E207">
        <v>9</v>
      </c>
      <c r="F207">
        <v>9</v>
      </c>
      <c r="G207">
        <v>192.233</v>
      </c>
      <c r="H207">
        <v>0</v>
      </c>
      <c r="I207">
        <v>0</v>
      </c>
      <c r="J207" s="1">
        <v>2</v>
      </c>
      <c r="L207">
        <f t="shared" si="3"/>
        <v>0</v>
      </c>
    </row>
    <row r="208" spans="1:12" x14ac:dyDescent="0.3">
      <c r="A208">
        <v>80</v>
      </c>
      <c r="B208">
        <v>2</v>
      </c>
      <c r="C208" s="1">
        <v>60</v>
      </c>
      <c r="D208">
        <v>1.1499999999999999</v>
      </c>
      <c r="E208">
        <v>9</v>
      </c>
      <c r="F208">
        <v>9</v>
      </c>
      <c r="G208">
        <v>190.69800000000001</v>
      </c>
      <c r="H208">
        <v>0</v>
      </c>
      <c r="I208">
        <v>0</v>
      </c>
      <c r="J208" s="1">
        <v>2</v>
      </c>
      <c r="L208">
        <f t="shared" si="3"/>
        <v>0</v>
      </c>
    </row>
    <row r="209" spans="1:12" x14ac:dyDescent="0.3">
      <c r="A209">
        <v>80</v>
      </c>
      <c r="B209">
        <v>2</v>
      </c>
      <c r="C209" s="1">
        <v>70</v>
      </c>
      <c r="D209">
        <v>1.1499999999999999</v>
      </c>
      <c r="E209">
        <v>9</v>
      </c>
      <c r="F209">
        <v>9</v>
      </c>
      <c r="G209">
        <v>8.0359999999999996</v>
      </c>
      <c r="H209">
        <v>0</v>
      </c>
      <c r="I209">
        <v>0</v>
      </c>
      <c r="J209" s="1">
        <v>1</v>
      </c>
      <c r="L209">
        <f t="shared" si="3"/>
        <v>0</v>
      </c>
    </row>
    <row r="210" spans="1:12" x14ac:dyDescent="0.3">
      <c r="A210">
        <v>80</v>
      </c>
      <c r="B210">
        <v>2</v>
      </c>
      <c r="C210" s="1">
        <v>80</v>
      </c>
      <c r="D210">
        <v>1.1499999999999999</v>
      </c>
      <c r="E210">
        <v>9</v>
      </c>
      <c r="F210">
        <v>9</v>
      </c>
      <c r="G210">
        <v>9.8390000000000004</v>
      </c>
      <c r="H210">
        <v>0</v>
      </c>
      <c r="I210">
        <v>0</v>
      </c>
      <c r="J210" s="1">
        <v>1</v>
      </c>
      <c r="L210">
        <f t="shared" si="3"/>
        <v>0</v>
      </c>
    </row>
    <row r="211" spans="1:12" x14ac:dyDescent="0.3">
      <c r="A211">
        <v>80</v>
      </c>
      <c r="B211">
        <v>2</v>
      </c>
      <c r="C211" s="1">
        <v>90</v>
      </c>
      <c r="D211">
        <v>1.1499999999999999</v>
      </c>
      <c r="E211">
        <v>9</v>
      </c>
      <c r="F211">
        <v>9</v>
      </c>
      <c r="G211">
        <v>9.5679999999999996</v>
      </c>
      <c r="H211">
        <v>0</v>
      </c>
      <c r="I211">
        <v>0</v>
      </c>
      <c r="J211" s="1">
        <v>1</v>
      </c>
      <c r="L211">
        <f t="shared" si="3"/>
        <v>0</v>
      </c>
    </row>
    <row r="212" spans="1:12" s="2" customFormat="1" x14ac:dyDescent="0.3">
      <c r="A212" s="2">
        <v>80</v>
      </c>
      <c r="B212" s="2">
        <v>2</v>
      </c>
      <c r="C212" s="3">
        <v>100</v>
      </c>
      <c r="D212" s="2">
        <v>1.1499999999999999</v>
      </c>
      <c r="E212" s="2">
        <v>9</v>
      </c>
      <c r="F212" s="2">
        <v>9</v>
      </c>
      <c r="G212" s="2">
        <v>9.0359999999999996</v>
      </c>
      <c r="H212" s="2">
        <v>0</v>
      </c>
      <c r="I212" s="2">
        <v>0</v>
      </c>
      <c r="J212" s="3">
        <v>1</v>
      </c>
      <c r="K212" s="5">
        <f t="shared" ref="K212:K242" si="4">AVERAGE(G203:G212)</f>
        <v>45.3748</v>
      </c>
      <c r="L212" s="2">
        <f t="shared" si="3"/>
        <v>0</v>
      </c>
    </row>
    <row r="213" spans="1:12" x14ac:dyDescent="0.3">
      <c r="A213">
        <v>80</v>
      </c>
      <c r="B213">
        <v>3</v>
      </c>
      <c r="C213" s="1">
        <v>10</v>
      </c>
      <c r="D213">
        <v>1.1499999999999999</v>
      </c>
      <c r="E213">
        <v>8</v>
      </c>
      <c r="F213">
        <v>8</v>
      </c>
      <c r="G213">
        <v>2.76</v>
      </c>
      <c r="H213">
        <v>0</v>
      </c>
      <c r="I213">
        <v>0</v>
      </c>
      <c r="J213" s="1">
        <v>1</v>
      </c>
      <c r="L213">
        <f t="shared" si="3"/>
        <v>0</v>
      </c>
    </row>
    <row r="214" spans="1:12" x14ac:dyDescent="0.3">
      <c r="A214">
        <v>80</v>
      </c>
      <c r="B214">
        <v>3</v>
      </c>
      <c r="C214" s="1">
        <v>20</v>
      </c>
      <c r="D214">
        <v>1.1499999999999999</v>
      </c>
      <c r="E214">
        <v>8</v>
      </c>
      <c r="F214">
        <v>8</v>
      </c>
      <c r="G214">
        <v>2.4929999999999999</v>
      </c>
      <c r="H214">
        <v>0</v>
      </c>
      <c r="I214">
        <v>0</v>
      </c>
      <c r="J214" s="1">
        <v>1</v>
      </c>
      <c r="L214">
        <f t="shared" si="3"/>
        <v>0</v>
      </c>
    </row>
    <row r="215" spans="1:12" x14ac:dyDescent="0.3">
      <c r="A215">
        <v>80</v>
      </c>
      <c r="B215">
        <v>3</v>
      </c>
      <c r="C215" s="1">
        <v>30</v>
      </c>
      <c r="D215">
        <v>1.1499999999999999</v>
      </c>
      <c r="E215">
        <v>8</v>
      </c>
      <c r="F215">
        <v>8</v>
      </c>
      <c r="G215">
        <v>2.1920000000000002</v>
      </c>
      <c r="H215">
        <v>0</v>
      </c>
      <c r="I215">
        <v>0</v>
      </c>
      <c r="J215" s="1">
        <v>1</v>
      </c>
      <c r="L215">
        <f t="shared" si="3"/>
        <v>0</v>
      </c>
    </row>
    <row r="216" spans="1:12" x14ac:dyDescent="0.3">
      <c r="A216">
        <v>80</v>
      </c>
      <c r="B216">
        <v>3</v>
      </c>
      <c r="C216" s="1">
        <v>40</v>
      </c>
      <c r="D216">
        <v>1.1499999999999999</v>
      </c>
      <c r="E216">
        <v>8</v>
      </c>
      <c r="F216">
        <v>8</v>
      </c>
      <c r="G216">
        <v>2.5920000000000001</v>
      </c>
      <c r="H216">
        <v>0</v>
      </c>
      <c r="I216">
        <v>0</v>
      </c>
      <c r="J216" s="1">
        <v>1</v>
      </c>
      <c r="L216">
        <f t="shared" si="3"/>
        <v>0</v>
      </c>
    </row>
    <row r="217" spans="1:12" x14ac:dyDescent="0.3">
      <c r="A217">
        <v>80</v>
      </c>
      <c r="B217">
        <v>3</v>
      </c>
      <c r="C217" s="1">
        <v>50</v>
      </c>
      <c r="D217">
        <v>1.1499999999999999</v>
      </c>
      <c r="E217">
        <v>8</v>
      </c>
      <c r="F217">
        <v>8</v>
      </c>
      <c r="G217">
        <v>3.149</v>
      </c>
      <c r="H217">
        <v>0</v>
      </c>
      <c r="I217">
        <v>0</v>
      </c>
      <c r="J217" s="1">
        <v>1</v>
      </c>
      <c r="L217">
        <f t="shared" si="3"/>
        <v>0</v>
      </c>
    </row>
    <row r="218" spans="1:12" x14ac:dyDescent="0.3">
      <c r="A218">
        <v>80</v>
      </c>
      <c r="B218">
        <v>3</v>
      </c>
      <c r="C218" s="1">
        <v>60</v>
      </c>
      <c r="D218">
        <v>1.1499999999999999</v>
      </c>
      <c r="E218">
        <v>8</v>
      </c>
      <c r="F218">
        <v>8</v>
      </c>
      <c r="G218">
        <v>2.5670000000000002</v>
      </c>
      <c r="H218">
        <v>0</v>
      </c>
      <c r="I218">
        <v>0</v>
      </c>
      <c r="J218" s="1">
        <v>1</v>
      </c>
      <c r="L218">
        <f t="shared" si="3"/>
        <v>0</v>
      </c>
    </row>
    <row r="219" spans="1:12" x14ac:dyDescent="0.3">
      <c r="A219">
        <v>80</v>
      </c>
      <c r="B219">
        <v>3</v>
      </c>
      <c r="C219" s="1">
        <v>70</v>
      </c>
      <c r="D219">
        <v>1.1499999999999999</v>
      </c>
      <c r="E219">
        <v>8</v>
      </c>
      <c r="F219">
        <v>8</v>
      </c>
      <c r="G219">
        <v>2.3780000000000001</v>
      </c>
      <c r="H219">
        <v>0</v>
      </c>
      <c r="I219">
        <v>0</v>
      </c>
      <c r="J219" s="1">
        <v>1</v>
      </c>
      <c r="L219">
        <f t="shared" si="3"/>
        <v>0</v>
      </c>
    </row>
    <row r="220" spans="1:12" x14ac:dyDescent="0.3">
      <c r="A220">
        <v>80</v>
      </c>
      <c r="B220">
        <v>3</v>
      </c>
      <c r="C220" s="1">
        <v>80</v>
      </c>
      <c r="D220">
        <v>1.1499999999999999</v>
      </c>
      <c r="E220">
        <v>8</v>
      </c>
      <c r="F220">
        <v>8</v>
      </c>
      <c r="G220">
        <v>3.206</v>
      </c>
      <c r="H220">
        <v>0</v>
      </c>
      <c r="I220">
        <v>0</v>
      </c>
      <c r="J220" s="1">
        <v>1</v>
      </c>
      <c r="L220">
        <f t="shared" si="3"/>
        <v>0</v>
      </c>
    </row>
    <row r="221" spans="1:12" x14ac:dyDescent="0.3">
      <c r="A221">
        <v>80</v>
      </c>
      <c r="B221">
        <v>3</v>
      </c>
      <c r="C221" s="1">
        <v>90</v>
      </c>
      <c r="D221">
        <v>1.1499999999999999</v>
      </c>
      <c r="E221">
        <v>8</v>
      </c>
      <c r="F221">
        <v>8</v>
      </c>
      <c r="G221">
        <v>3.0150000000000001</v>
      </c>
      <c r="H221">
        <v>0</v>
      </c>
      <c r="I221">
        <v>0</v>
      </c>
      <c r="J221" s="1">
        <v>1</v>
      </c>
      <c r="L221">
        <f t="shared" si="3"/>
        <v>0</v>
      </c>
    </row>
    <row r="222" spans="1:12" s="2" customFormat="1" x14ac:dyDescent="0.3">
      <c r="A222" s="2">
        <v>80</v>
      </c>
      <c r="B222" s="2">
        <v>3</v>
      </c>
      <c r="C222" s="3">
        <v>100</v>
      </c>
      <c r="D222" s="2">
        <v>1.1499999999999999</v>
      </c>
      <c r="E222" s="2">
        <v>8</v>
      </c>
      <c r="F222" s="2">
        <v>8</v>
      </c>
      <c r="G222" s="2">
        <v>2.7839999999999998</v>
      </c>
      <c r="H222" s="2">
        <v>0</v>
      </c>
      <c r="I222" s="2">
        <v>0</v>
      </c>
      <c r="J222" s="3">
        <v>1</v>
      </c>
      <c r="K222" s="5">
        <f>AVERAGE(G213:G222)</f>
        <v>2.7136</v>
      </c>
      <c r="L222" s="2">
        <f t="shared" si="3"/>
        <v>0</v>
      </c>
    </row>
    <row r="223" spans="1:12" x14ac:dyDescent="0.3">
      <c r="A223">
        <v>80</v>
      </c>
      <c r="B223">
        <v>4</v>
      </c>
      <c r="C223" s="1">
        <v>10</v>
      </c>
      <c r="D223">
        <v>1.1499999999999999</v>
      </c>
      <c r="E223">
        <v>7</v>
      </c>
      <c r="F223">
        <v>7</v>
      </c>
      <c r="G223">
        <v>1.9259999999999999</v>
      </c>
      <c r="H223">
        <v>0</v>
      </c>
      <c r="I223">
        <v>0</v>
      </c>
      <c r="J223" s="1">
        <v>1</v>
      </c>
      <c r="L223">
        <f t="shared" si="3"/>
        <v>0</v>
      </c>
    </row>
    <row r="224" spans="1:12" x14ac:dyDescent="0.3">
      <c r="A224">
        <v>80</v>
      </c>
      <c r="B224">
        <v>4</v>
      </c>
      <c r="C224" s="1">
        <v>20</v>
      </c>
      <c r="D224">
        <v>1.1499999999999999</v>
      </c>
      <c r="E224">
        <v>7</v>
      </c>
      <c r="F224">
        <v>7</v>
      </c>
      <c r="G224">
        <v>1.8520000000000001</v>
      </c>
      <c r="H224">
        <v>0</v>
      </c>
      <c r="I224">
        <v>0</v>
      </c>
      <c r="J224" s="1">
        <v>1</v>
      </c>
      <c r="L224">
        <f t="shared" si="3"/>
        <v>0</v>
      </c>
    </row>
    <row r="225" spans="1:12" x14ac:dyDescent="0.3">
      <c r="A225">
        <v>80</v>
      </c>
      <c r="B225">
        <v>4</v>
      </c>
      <c r="C225" s="1">
        <v>30</v>
      </c>
      <c r="D225">
        <v>1.1499999999999999</v>
      </c>
      <c r="E225">
        <v>7</v>
      </c>
      <c r="F225">
        <v>7</v>
      </c>
      <c r="G225">
        <v>1.7689999999999999</v>
      </c>
      <c r="H225">
        <v>0</v>
      </c>
      <c r="I225">
        <v>0</v>
      </c>
      <c r="J225" s="1">
        <v>1</v>
      </c>
      <c r="L225">
        <f t="shared" si="3"/>
        <v>0</v>
      </c>
    </row>
    <row r="226" spans="1:12" x14ac:dyDescent="0.3">
      <c r="A226">
        <v>80</v>
      </c>
      <c r="B226">
        <v>4</v>
      </c>
      <c r="C226" s="1">
        <v>40</v>
      </c>
      <c r="D226">
        <v>1.1499999999999999</v>
      </c>
      <c r="E226">
        <v>7</v>
      </c>
      <c r="F226">
        <v>7</v>
      </c>
      <c r="G226">
        <v>1.9339999999999999</v>
      </c>
      <c r="H226">
        <v>0</v>
      </c>
      <c r="I226">
        <v>0</v>
      </c>
      <c r="J226" s="1">
        <v>1</v>
      </c>
      <c r="L226">
        <f t="shared" si="3"/>
        <v>0</v>
      </c>
    </row>
    <row r="227" spans="1:12" x14ac:dyDescent="0.3">
      <c r="A227">
        <v>80</v>
      </c>
      <c r="B227">
        <v>4</v>
      </c>
      <c r="C227" s="1">
        <v>50</v>
      </c>
      <c r="D227">
        <v>1.1499999999999999</v>
      </c>
      <c r="E227">
        <v>7</v>
      </c>
      <c r="F227">
        <v>7</v>
      </c>
      <c r="G227">
        <v>2.3079999999999998</v>
      </c>
      <c r="H227">
        <v>0</v>
      </c>
      <c r="I227">
        <v>0</v>
      </c>
      <c r="J227" s="1">
        <v>1</v>
      </c>
      <c r="L227">
        <f t="shared" si="3"/>
        <v>0</v>
      </c>
    </row>
    <row r="228" spans="1:12" x14ac:dyDescent="0.3">
      <c r="A228">
        <v>80</v>
      </c>
      <c r="B228">
        <v>4</v>
      </c>
      <c r="C228" s="1">
        <v>60</v>
      </c>
      <c r="D228">
        <v>1.1499999999999999</v>
      </c>
      <c r="E228">
        <v>7</v>
      </c>
      <c r="F228">
        <v>7</v>
      </c>
      <c r="G228">
        <v>1.9019999999999999</v>
      </c>
      <c r="H228">
        <v>0</v>
      </c>
      <c r="I228">
        <v>0</v>
      </c>
      <c r="J228" s="1">
        <v>1</v>
      </c>
      <c r="L228">
        <f t="shared" si="3"/>
        <v>0</v>
      </c>
    </row>
    <row r="229" spans="1:12" x14ac:dyDescent="0.3">
      <c r="A229">
        <v>80</v>
      </c>
      <c r="B229">
        <v>4</v>
      </c>
      <c r="C229" s="1">
        <v>70</v>
      </c>
      <c r="D229">
        <v>1.1499999999999999</v>
      </c>
      <c r="E229">
        <v>7</v>
      </c>
      <c r="F229">
        <v>7</v>
      </c>
      <c r="G229">
        <v>1.9219999999999999</v>
      </c>
      <c r="H229">
        <v>0</v>
      </c>
      <c r="I229">
        <v>0</v>
      </c>
      <c r="J229" s="1">
        <v>1</v>
      </c>
      <c r="L229">
        <f t="shared" si="3"/>
        <v>0</v>
      </c>
    </row>
    <row r="230" spans="1:12" x14ac:dyDescent="0.3">
      <c r="A230">
        <v>80</v>
      </c>
      <c r="B230">
        <v>4</v>
      </c>
      <c r="C230" s="1">
        <v>80</v>
      </c>
      <c r="D230">
        <v>1.1499999999999999</v>
      </c>
      <c r="E230">
        <v>7</v>
      </c>
      <c r="F230">
        <v>7</v>
      </c>
      <c r="G230">
        <v>2.2429999999999999</v>
      </c>
      <c r="H230">
        <v>0</v>
      </c>
      <c r="I230">
        <v>0</v>
      </c>
      <c r="J230" s="1">
        <v>1</v>
      </c>
      <c r="L230">
        <f t="shared" si="3"/>
        <v>0</v>
      </c>
    </row>
    <row r="231" spans="1:12" x14ac:dyDescent="0.3">
      <c r="A231">
        <v>80</v>
      </c>
      <c r="B231">
        <v>4</v>
      </c>
      <c r="C231" s="1">
        <v>90</v>
      </c>
      <c r="D231">
        <v>1.1499999999999999</v>
      </c>
      <c r="E231">
        <v>7</v>
      </c>
      <c r="F231">
        <v>7</v>
      </c>
      <c r="G231">
        <v>2.1669999999999998</v>
      </c>
      <c r="H231">
        <v>0</v>
      </c>
      <c r="I231">
        <v>0</v>
      </c>
      <c r="J231" s="1">
        <v>1</v>
      </c>
      <c r="L231">
        <f t="shared" si="3"/>
        <v>0</v>
      </c>
    </row>
    <row r="232" spans="1:12" s="2" customFormat="1" x14ac:dyDescent="0.3">
      <c r="A232" s="2">
        <v>80</v>
      </c>
      <c r="B232" s="2">
        <v>4</v>
      </c>
      <c r="C232" s="3">
        <v>100</v>
      </c>
      <c r="D232" s="2">
        <v>1.1499999999999999</v>
      </c>
      <c r="E232" s="2">
        <v>7</v>
      </c>
      <c r="F232" s="2">
        <v>7</v>
      </c>
      <c r="G232" s="2">
        <v>2.0870000000000002</v>
      </c>
      <c r="H232" s="2">
        <v>0</v>
      </c>
      <c r="I232" s="2">
        <v>0</v>
      </c>
      <c r="J232" s="3">
        <v>1</v>
      </c>
      <c r="K232" s="5">
        <f t="shared" si="4"/>
        <v>2.0110000000000001</v>
      </c>
      <c r="L232" s="2">
        <f t="shared" si="3"/>
        <v>0</v>
      </c>
    </row>
    <row r="233" spans="1:12" x14ac:dyDescent="0.3">
      <c r="A233">
        <v>80</v>
      </c>
      <c r="B233">
        <v>5</v>
      </c>
      <c r="C233" s="1">
        <v>10</v>
      </c>
      <c r="D233">
        <v>1.1499999999999999</v>
      </c>
      <c r="E233">
        <v>6</v>
      </c>
      <c r="F233">
        <v>6</v>
      </c>
      <c r="G233">
        <v>3.355</v>
      </c>
      <c r="H233">
        <v>0</v>
      </c>
      <c r="I233">
        <v>0</v>
      </c>
      <c r="J233" s="1">
        <v>1</v>
      </c>
      <c r="L233">
        <f t="shared" si="3"/>
        <v>0</v>
      </c>
    </row>
    <row r="234" spans="1:12" x14ac:dyDescent="0.3">
      <c r="A234">
        <v>80</v>
      </c>
      <c r="B234">
        <v>5</v>
      </c>
      <c r="C234" s="1">
        <v>20</v>
      </c>
      <c r="D234">
        <v>1.1499999999999999</v>
      </c>
      <c r="E234">
        <v>6</v>
      </c>
      <c r="F234">
        <v>6</v>
      </c>
      <c r="G234">
        <v>3.032</v>
      </c>
      <c r="H234">
        <v>0</v>
      </c>
      <c r="I234">
        <v>0</v>
      </c>
      <c r="J234" s="1">
        <v>1</v>
      </c>
      <c r="L234">
        <f t="shared" si="3"/>
        <v>0</v>
      </c>
    </row>
    <row r="235" spans="1:12" x14ac:dyDescent="0.3">
      <c r="A235">
        <v>80</v>
      </c>
      <c r="B235">
        <v>5</v>
      </c>
      <c r="C235" s="1">
        <v>30</v>
      </c>
      <c r="D235">
        <v>1.1499999999999999</v>
      </c>
      <c r="E235">
        <v>6</v>
      </c>
      <c r="F235">
        <v>6</v>
      </c>
      <c r="G235">
        <v>2.911</v>
      </c>
      <c r="H235">
        <v>0</v>
      </c>
      <c r="I235">
        <v>0</v>
      </c>
      <c r="J235" s="1">
        <v>1</v>
      </c>
      <c r="L235">
        <f t="shared" si="3"/>
        <v>0</v>
      </c>
    </row>
    <row r="236" spans="1:12" x14ac:dyDescent="0.3">
      <c r="A236">
        <v>80</v>
      </c>
      <c r="B236">
        <v>5</v>
      </c>
      <c r="C236" s="1">
        <v>40</v>
      </c>
      <c r="D236">
        <v>1.1499999999999999</v>
      </c>
      <c r="E236">
        <v>6</v>
      </c>
      <c r="F236">
        <v>6</v>
      </c>
      <c r="G236">
        <v>3.18</v>
      </c>
      <c r="H236">
        <v>0</v>
      </c>
      <c r="I236">
        <v>0</v>
      </c>
      <c r="J236" s="1">
        <v>1</v>
      </c>
      <c r="L236">
        <f t="shared" si="3"/>
        <v>0</v>
      </c>
    </row>
    <row r="237" spans="1:12" x14ac:dyDescent="0.3">
      <c r="A237">
        <v>80</v>
      </c>
      <c r="B237">
        <v>5</v>
      </c>
      <c r="C237" s="1">
        <v>50</v>
      </c>
      <c r="D237">
        <v>1.1499999999999999</v>
      </c>
      <c r="E237">
        <v>6</v>
      </c>
      <c r="F237">
        <v>6</v>
      </c>
      <c r="G237">
        <v>3.262</v>
      </c>
      <c r="H237">
        <v>0</v>
      </c>
      <c r="I237">
        <v>0</v>
      </c>
      <c r="J237" s="1">
        <v>1</v>
      </c>
      <c r="L237">
        <f t="shared" si="3"/>
        <v>0</v>
      </c>
    </row>
    <row r="238" spans="1:12" x14ac:dyDescent="0.3">
      <c r="A238">
        <v>80</v>
      </c>
      <c r="B238">
        <v>5</v>
      </c>
      <c r="C238" s="1">
        <v>60</v>
      </c>
      <c r="D238">
        <v>1.1499999999999999</v>
      </c>
      <c r="E238">
        <v>6</v>
      </c>
      <c r="F238">
        <v>6</v>
      </c>
      <c r="G238">
        <v>2.9780000000000002</v>
      </c>
      <c r="H238">
        <v>0</v>
      </c>
      <c r="I238">
        <v>0</v>
      </c>
      <c r="J238" s="1">
        <v>1</v>
      </c>
      <c r="L238">
        <f t="shared" si="3"/>
        <v>0</v>
      </c>
    </row>
    <row r="239" spans="1:12" x14ac:dyDescent="0.3">
      <c r="A239">
        <v>80</v>
      </c>
      <c r="B239">
        <v>5</v>
      </c>
      <c r="C239" s="1">
        <v>70</v>
      </c>
      <c r="D239">
        <v>1.1499999999999999</v>
      </c>
      <c r="E239">
        <v>6</v>
      </c>
      <c r="F239">
        <v>6</v>
      </c>
      <c r="G239">
        <v>3.1589999999999998</v>
      </c>
      <c r="H239">
        <v>0</v>
      </c>
      <c r="I239">
        <v>0</v>
      </c>
      <c r="J239" s="1">
        <v>1</v>
      </c>
      <c r="L239">
        <f t="shared" si="3"/>
        <v>0</v>
      </c>
    </row>
    <row r="240" spans="1:12" x14ac:dyDescent="0.3">
      <c r="A240">
        <v>80</v>
      </c>
      <c r="B240">
        <v>5</v>
      </c>
      <c r="C240" s="1">
        <v>80</v>
      </c>
      <c r="D240">
        <v>1.1499999999999999</v>
      </c>
      <c r="E240">
        <v>6</v>
      </c>
      <c r="F240">
        <v>6</v>
      </c>
      <c r="G240">
        <v>3.3340000000000001</v>
      </c>
      <c r="H240">
        <v>0</v>
      </c>
      <c r="I240">
        <v>0</v>
      </c>
      <c r="J240" s="1">
        <v>1</v>
      </c>
      <c r="L240">
        <f t="shared" si="3"/>
        <v>0</v>
      </c>
    </row>
    <row r="241" spans="1:12" x14ac:dyDescent="0.3">
      <c r="A241">
        <v>80</v>
      </c>
      <c r="B241">
        <v>5</v>
      </c>
      <c r="C241" s="1">
        <v>90</v>
      </c>
      <c r="D241">
        <v>1.1499999999999999</v>
      </c>
      <c r="E241">
        <v>6</v>
      </c>
      <c r="F241">
        <v>6</v>
      </c>
      <c r="G241">
        <v>3.5449999999999999</v>
      </c>
      <c r="H241">
        <v>0</v>
      </c>
      <c r="I241">
        <v>0</v>
      </c>
      <c r="J241" s="1">
        <v>1</v>
      </c>
      <c r="L241">
        <f t="shared" si="3"/>
        <v>0</v>
      </c>
    </row>
    <row r="242" spans="1:12" s="2" customFormat="1" x14ac:dyDescent="0.3">
      <c r="A242" s="2">
        <v>80</v>
      </c>
      <c r="B242" s="2">
        <v>5</v>
      </c>
      <c r="C242" s="3">
        <v>100</v>
      </c>
      <c r="D242" s="2">
        <v>1.1499999999999999</v>
      </c>
      <c r="E242" s="2">
        <v>6</v>
      </c>
      <c r="F242" s="2">
        <v>6</v>
      </c>
      <c r="G242" s="2">
        <v>3.2080000000000002</v>
      </c>
      <c r="H242" s="2">
        <v>0</v>
      </c>
      <c r="I242" s="2">
        <v>0</v>
      </c>
      <c r="J242" s="3">
        <v>1</v>
      </c>
      <c r="K242" s="5">
        <f t="shared" si="4"/>
        <v>3.1963999999999997</v>
      </c>
      <c r="L242" s="2">
        <f t="shared" si="3"/>
        <v>0</v>
      </c>
    </row>
    <row r="243" spans="1:12" x14ac:dyDescent="0.3">
      <c r="D243">
        <f>AVERAGE(D3:D242)</f>
        <v>1.1500000000000021</v>
      </c>
      <c r="E243">
        <f t="shared" ref="E243:G243" si="5">AVERAGE(E3:E242)</f>
        <v>4.0875000000000004</v>
      </c>
      <c r="F243">
        <f t="shared" si="5"/>
        <v>4.0875000000000004</v>
      </c>
      <c r="G243">
        <f t="shared" si="5"/>
        <v>4.803533333333335</v>
      </c>
      <c r="H243">
        <f t="shared" ref="H243:J243" si="6">SUM(H3:H242)</f>
        <v>8</v>
      </c>
      <c r="I243">
        <f t="shared" si="6"/>
        <v>18</v>
      </c>
      <c r="J243">
        <f t="shared" si="6"/>
        <v>253</v>
      </c>
      <c r="L243">
        <f>COUNTIF(L3:L242,"&gt;0")</f>
        <v>0</v>
      </c>
    </row>
    <row r="323" spans="4:12" x14ac:dyDescent="0.3">
      <c r="D323" s="6">
        <f>AVERAGE(D12:D242)</f>
        <v>1.150000000000003</v>
      </c>
      <c r="E323">
        <f>SUM(E12:E242)</f>
        <v>963</v>
      </c>
      <c r="F323">
        <f>SUM(F12:F242)</f>
        <v>963</v>
      </c>
      <c r="K323" s="4">
        <f>AVERAGE(K12:K242)</f>
        <v>4.8035333333333332</v>
      </c>
      <c r="L323">
        <f>COUNTIF(L12:L242,"&gt;0")</f>
        <v>0</v>
      </c>
    </row>
  </sheetData>
  <autoFilter ref="K1:K323" xr:uid="{3BDC2A91-F62C-482F-8F5A-8E214630FF7D}"/>
  <phoneticPr fontId="1" type="noConversion"/>
  <conditionalFormatting sqref="L2:L242">
    <cfRule type="containsText" dxfId="55" priority="2" operator="containsText" text="FALSE">
      <formula>NOT(ISERROR(SEARCH("FALSE",L2)))</formula>
    </cfRule>
  </conditionalFormatting>
  <conditionalFormatting sqref="M1 M243:M322">
    <cfRule type="containsText" dxfId="54" priority="1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0612-028A-4413-ABBC-F363188BB499}">
  <dimension ref="A1:M323"/>
  <sheetViews>
    <sheetView topLeftCell="A220" zoomScale="85" zoomScaleNormal="85" workbookViewId="0">
      <selection activeCell="G243" sqref="G243"/>
    </sheetView>
  </sheetViews>
  <sheetFormatPr defaultRowHeight="16.5" x14ac:dyDescent="0.3"/>
  <cols>
    <col min="1" max="1" width="8.875" bestFit="1" customWidth="1"/>
    <col min="2" max="2" width="13.75" bestFit="1" customWidth="1"/>
    <col min="5" max="5" width="14.75" bestFit="1" customWidth="1"/>
    <col min="6" max="6" width="12.625" bestFit="1" customWidth="1"/>
    <col min="7" max="7" width="9.75" bestFit="1" customWidth="1"/>
    <col min="8" max="8" width="15.125" bestFit="1" customWidth="1"/>
    <col min="9" max="9" width="14.125" bestFit="1" customWidth="1"/>
    <col min="10" max="10" width="13.625" bestFit="1" customWidth="1"/>
    <col min="11" max="11" width="9.125" style="4" bestFit="1" customWidth="1"/>
    <col min="13" max="13" width="9" style="7"/>
  </cols>
  <sheetData>
    <row r="1" spans="1:13" s="13" customFormat="1" x14ac:dyDescent="0.3">
      <c r="C1" s="12"/>
      <c r="D1" s="13" t="s">
        <v>18</v>
      </c>
      <c r="J1" s="12"/>
      <c r="K1" s="11"/>
      <c r="M1" s="10"/>
    </row>
    <row r="2" spans="1:13" s="9" customFormat="1" x14ac:dyDescent="0.3">
      <c r="A2" s="9" t="s">
        <v>8</v>
      </c>
      <c r="B2" s="9" t="s">
        <v>9</v>
      </c>
      <c r="C2" s="17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17" t="s">
        <v>17</v>
      </c>
      <c r="K2" s="15" t="s">
        <v>4</v>
      </c>
      <c r="L2" s="9" t="s">
        <v>5</v>
      </c>
    </row>
    <row r="3" spans="1:13" x14ac:dyDescent="0.3">
      <c r="A3">
        <v>30</v>
      </c>
      <c r="B3">
        <v>2</v>
      </c>
      <c r="C3" s="1">
        <v>10</v>
      </c>
      <c r="D3">
        <v>1.1499999999999999</v>
      </c>
      <c r="E3">
        <v>2</v>
      </c>
      <c r="F3">
        <v>2</v>
      </c>
      <c r="G3">
        <v>1.4999999999999999E-2</v>
      </c>
      <c r="H3">
        <v>0</v>
      </c>
      <c r="I3">
        <v>0</v>
      </c>
      <c r="J3" s="1">
        <v>1</v>
      </c>
      <c r="L3">
        <f t="shared" ref="L3:L66" si="0">IF(ISBLANK(E3),IF(ISBLANK(F3),"",100), IF(E3+F3=0, 0, IF(G3=3600, IF(E3=F3,1,(E3-F3)/E3*100), 0)))</f>
        <v>0</v>
      </c>
    </row>
    <row r="4" spans="1:13" x14ac:dyDescent="0.3">
      <c r="A4">
        <v>30</v>
      </c>
      <c r="B4">
        <v>2</v>
      </c>
      <c r="C4" s="1">
        <v>20</v>
      </c>
      <c r="D4">
        <v>1.1499999999999999</v>
      </c>
      <c r="E4">
        <v>2</v>
      </c>
      <c r="F4">
        <v>2</v>
      </c>
      <c r="G4">
        <v>3.7999999999999999E-2</v>
      </c>
      <c r="H4">
        <v>0</v>
      </c>
      <c r="I4">
        <v>0</v>
      </c>
      <c r="J4" s="1">
        <v>1</v>
      </c>
      <c r="L4">
        <f t="shared" si="0"/>
        <v>0</v>
      </c>
    </row>
    <row r="5" spans="1:13" x14ac:dyDescent="0.3">
      <c r="A5">
        <v>30</v>
      </c>
      <c r="B5">
        <v>2</v>
      </c>
      <c r="C5" s="1">
        <v>30</v>
      </c>
      <c r="D5">
        <v>1.1499999999999999</v>
      </c>
      <c r="E5">
        <v>2</v>
      </c>
      <c r="F5">
        <v>2</v>
      </c>
      <c r="G5">
        <v>3.1E-2</v>
      </c>
      <c r="H5">
        <v>0</v>
      </c>
      <c r="I5">
        <v>0</v>
      </c>
      <c r="J5" s="1">
        <v>1</v>
      </c>
      <c r="L5">
        <f t="shared" si="0"/>
        <v>0</v>
      </c>
    </row>
    <row r="6" spans="1:13" x14ac:dyDescent="0.3">
      <c r="A6">
        <v>30</v>
      </c>
      <c r="B6">
        <v>2</v>
      </c>
      <c r="C6" s="1">
        <v>40</v>
      </c>
      <c r="D6">
        <v>1.1499999999999999</v>
      </c>
      <c r="E6">
        <v>2</v>
      </c>
      <c r="F6">
        <v>2</v>
      </c>
      <c r="G6">
        <v>1.2E-2</v>
      </c>
      <c r="H6">
        <v>0</v>
      </c>
      <c r="I6">
        <v>0</v>
      </c>
      <c r="J6" s="1">
        <v>1</v>
      </c>
      <c r="L6">
        <f t="shared" si="0"/>
        <v>0</v>
      </c>
    </row>
    <row r="7" spans="1:13" x14ac:dyDescent="0.3">
      <c r="A7">
        <v>30</v>
      </c>
      <c r="B7">
        <v>2</v>
      </c>
      <c r="C7" s="1">
        <v>50</v>
      </c>
      <c r="D7">
        <v>1.1499999999999999</v>
      </c>
      <c r="E7">
        <v>2</v>
      </c>
      <c r="F7">
        <v>2</v>
      </c>
      <c r="G7">
        <v>1.4E-2</v>
      </c>
      <c r="H7">
        <v>0</v>
      </c>
      <c r="I7">
        <v>0</v>
      </c>
      <c r="J7" s="1">
        <v>1</v>
      </c>
      <c r="L7">
        <f t="shared" si="0"/>
        <v>0</v>
      </c>
    </row>
    <row r="8" spans="1:13" x14ac:dyDescent="0.3">
      <c r="A8">
        <v>30</v>
      </c>
      <c r="B8">
        <v>2</v>
      </c>
      <c r="C8" s="1">
        <v>60</v>
      </c>
      <c r="D8">
        <v>1.1499999999999999</v>
      </c>
      <c r="E8">
        <v>2</v>
      </c>
      <c r="F8">
        <v>2</v>
      </c>
      <c r="G8">
        <v>1.2999999999999999E-2</v>
      </c>
      <c r="H8">
        <v>0</v>
      </c>
      <c r="I8">
        <v>0</v>
      </c>
      <c r="J8" s="1">
        <v>1</v>
      </c>
      <c r="L8">
        <f t="shared" si="0"/>
        <v>0</v>
      </c>
    </row>
    <row r="9" spans="1:13" x14ac:dyDescent="0.3">
      <c r="A9">
        <v>30</v>
      </c>
      <c r="B9">
        <v>2</v>
      </c>
      <c r="C9" s="1">
        <v>70</v>
      </c>
      <c r="D9">
        <v>1.1499999999999999</v>
      </c>
      <c r="E9">
        <v>2</v>
      </c>
      <c r="F9">
        <v>2</v>
      </c>
      <c r="G9">
        <v>3.5000000000000003E-2</v>
      </c>
      <c r="H9">
        <v>0</v>
      </c>
      <c r="I9">
        <v>0</v>
      </c>
      <c r="J9" s="1">
        <v>1</v>
      </c>
      <c r="L9">
        <f t="shared" si="0"/>
        <v>0</v>
      </c>
    </row>
    <row r="10" spans="1:13" x14ac:dyDescent="0.3">
      <c r="A10">
        <v>30</v>
      </c>
      <c r="B10">
        <v>2</v>
      </c>
      <c r="C10" s="1">
        <v>80</v>
      </c>
      <c r="D10">
        <v>1.1499999999999999</v>
      </c>
      <c r="E10">
        <v>2</v>
      </c>
      <c r="F10">
        <v>2</v>
      </c>
      <c r="G10">
        <v>0.03</v>
      </c>
      <c r="H10">
        <v>0</v>
      </c>
      <c r="I10">
        <v>0</v>
      </c>
      <c r="J10" s="1">
        <v>1</v>
      </c>
      <c r="L10">
        <f t="shared" si="0"/>
        <v>0</v>
      </c>
    </row>
    <row r="11" spans="1:13" x14ac:dyDescent="0.3">
      <c r="A11">
        <v>30</v>
      </c>
      <c r="B11">
        <v>2</v>
      </c>
      <c r="C11" s="1">
        <v>90</v>
      </c>
      <c r="D11">
        <v>1.1499999999999999</v>
      </c>
      <c r="E11">
        <v>2</v>
      </c>
      <c r="F11">
        <v>2</v>
      </c>
      <c r="G11">
        <v>1.2999999999999999E-2</v>
      </c>
      <c r="H11">
        <v>0</v>
      </c>
      <c r="I11">
        <v>0</v>
      </c>
      <c r="J11" s="1">
        <v>1</v>
      </c>
      <c r="L11">
        <f t="shared" si="0"/>
        <v>0</v>
      </c>
    </row>
    <row r="12" spans="1:13" s="2" customFormat="1" x14ac:dyDescent="0.3">
      <c r="A12" s="2">
        <v>30</v>
      </c>
      <c r="B12" s="2">
        <v>2</v>
      </c>
      <c r="C12" s="3">
        <v>100</v>
      </c>
      <c r="D12" s="2">
        <v>1.1499999999999999</v>
      </c>
      <c r="E12" s="2">
        <v>2</v>
      </c>
      <c r="F12" s="2">
        <v>2</v>
      </c>
      <c r="G12" s="2">
        <v>3.3000000000000002E-2</v>
      </c>
      <c r="H12" s="2">
        <v>0</v>
      </c>
      <c r="I12" s="2">
        <v>0</v>
      </c>
      <c r="J12" s="3">
        <v>1</v>
      </c>
      <c r="K12" s="5">
        <f>AVERAGE(G3:G12)</f>
        <v>2.3399999999999997E-2</v>
      </c>
      <c r="L12" s="2">
        <f t="shared" si="0"/>
        <v>0</v>
      </c>
    </row>
    <row r="13" spans="1:13" x14ac:dyDescent="0.3">
      <c r="A13">
        <v>30</v>
      </c>
      <c r="B13">
        <v>3</v>
      </c>
      <c r="C13" s="1">
        <v>10</v>
      </c>
      <c r="D13">
        <v>1.1499999999999999</v>
      </c>
      <c r="E13">
        <v>1</v>
      </c>
      <c r="F13">
        <v>1</v>
      </c>
      <c r="G13">
        <v>4.4999999999999998E-2</v>
      </c>
      <c r="H13">
        <v>0</v>
      </c>
      <c r="I13">
        <v>0</v>
      </c>
      <c r="J13" s="1">
        <v>1</v>
      </c>
      <c r="L13">
        <f t="shared" si="0"/>
        <v>0</v>
      </c>
    </row>
    <row r="14" spans="1:13" x14ac:dyDescent="0.3">
      <c r="A14">
        <v>30</v>
      </c>
      <c r="B14">
        <v>3</v>
      </c>
      <c r="C14" s="1">
        <v>20</v>
      </c>
      <c r="D14">
        <v>1.1499999999999999</v>
      </c>
      <c r="E14">
        <v>1</v>
      </c>
      <c r="F14">
        <v>1</v>
      </c>
      <c r="G14">
        <v>4.4999999999999998E-2</v>
      </c>
      <c r="H14">
        <v>0</v>
      </c>
      <c r="I14">
        <v>0</v>
      </c>
      <c r="J14" s="1">
        <v>1</v>
      </c>
      <c r="L14">
        <f t="shared" si="0"/>
        <v>0</v>
      </c>
    </row>
    <row r="15" spans="1:13" x14ac:dyDescent="0.3">
      <c r="A15">
        <v>30</v>
      </c>
      <c r="B15">
        <v>3</v>
      </c>
      <c r="C15" s="1">
        <v>30</v>
      </c>
      <c r="D15">
        <v>1.1499999999999999</v>
      </c>
      <c r="E15">
        <v>1</v>
      </c>
      <c r="F15">
        <v>1</v>
      </c>
      <c r="G15">
        <v>4.5999999999999999E-2</v>
      </c>
      <c r="H15">
        <v>0</v>
      </c>
      <c r="I15">
        <v>0</v>
      </c>
      <c r="J15" s="1">
        <v>1</v>
      </c>
      <c r="L15">
        <f t="shared" si="0"/>
        <v>0</v>
      </c>
    </row>
    <row r="16" spans="1:13" x14ac:dyDescent="0.3">
      <c r="A16">
        <v>30</v>
      </c>
      <c r="B16">
        <v>3</v>
      </c>
      <c r="C16" s="1">
        <v>40</v>
      </c>
      <c r="D16">
        <v>1.1499999999999999</v>
      </c>
      <c r="E16">
        <v>1</v>
      </c>
      <c r="F16">
        <v>1</v>
      </c>
      <c r="G16">
        <v>4.5999999999999999E-2</v>
      </c>
      <c r="H16">
        <v>0</v>
      </c>
      <c r="I16">
        <v>0</v>
      </c>
      <c r="J16" s="1">
        <v>1</v>
      </c>
      <c r="L16">
        <f t="shared" si="0"/>
        <v>0</v>
      </c>
    </row>
    <row r="17" spans="1:12" x14ac:dyDescent="0.3">
      <c r="A17">
        <v>30</v>
      </c>
      <c r="B17">
        <v>3</v>
      </c>
      <c r="C17" s="1">
        <v>50</v>
      </c>
      <c r="D17">
        <v>1.1499999999999999</v>
      </c>
      <c r="E17">
        <v>1</v>
      </c>
      <c r="F17">
        <v>1</v>
      </c>
      <c r="G17">
        <v>4.4999999999999998E-2</v>
      </c>
      <c r="H17">
        <v>0</v>
      </c>
      <c r="I17">
        <v>0</v>
      </c>
      <c r="J17" s="1">
        <v>1</v>
      </c>
      <c r="L17">
        <f t="shared" si="0"/>
        <v>0</v>
      </c>
    </row>
    <row r="18" spans="1:12" x14ac:dyDescent="0.3">
      <c r="A18">
        <v>30</v>
      </c>
      <c r="B18">
        <v>3</v>
      </c>
      <c r="C18" s="1">
        <v>60</v>
      </c>
      <c r="D18">
        <v>1.1499999999999999</v>
      </c>
      <c r="E18">
        <v>1</v>
      </c>
      <c r="F18">
        <v>1</v>
      </c>
      <c r="G18">
        <v>5.2999999999999999E-2</v>
      </c>
      <c r="H18">
        <v>0</v>
      </c>
      <c r="I18">
        <v>0</v>
      </c>
      <c r="J18" s="1">
        <v>1</v>
      </c>
      <c r="L18">
        <f t="shared" si="0"/>
        <v>0</v>
      </c>
    </row>
    <row r="19" spans="1:12" x14ac:dyDescent="0.3">
      <c r="A19">
        <v>30</v>
      </c>
      <c r="B19">
        <v>3</v>
      </c>
      <c r="C19" s="1">
        <v>70</v>
      </c>
      <c r="D19">
        <v>1.1499999999999999</v>
      </c>
      <c r="E19">
        <v>1</v>
      </c>
      <c r="F19">
        <v>1</v>
      </c>
      <c r="G19">
        <v>4.1000000000000002E-2</v>
      </c>
      <c r="H19">
        <v>0</v>
      </c>
      <c r="I19">
        <v>0</v>
      </c>
      <c r="J19" s="1">
        <v>1</v>
      </c>
      <c r="L19">
        <f t="shared" si="0"/>
        <v>0</v>
      </c>
    </row>
    <row r="20" spans="1:12" x14ac:dyDescent="0.3">
      <c r="A20">
        <v>30</v>
      </c>
      <c r="B20">
        <v>3</v>
      </c>
      <c r="C20" s="1">
        <v>80</v>
      </c>
      <c r="D20">
        <v>1.1499999999999999</v>
      </c>
      <c r="E20">
        <v>1</v>
      </c>
      <c r="F20">
        <v>1</v>
      </c>
      <c r="G20">
        <v>0.05</v>
      </c>
      <c r="H20">
        <v>0</v>
      </c>
      <c r="I20">
        <v>0</v>
      </c>
      <c r="J20" s="1">
        <v>1</v>
      </c>
      <c r="L20">
        <f t="shared" si="0"/>
        <v>0</v>
      </c>
    </row>
    <row r="21" spans="1:12" x14ac:dyDescent="0.3">
      <c r="A21">
        <v>30</v>
      </c>
      <c r="B21">
        <v>3</v>
      </c>
      <c r="C21" s="1">
        <v>90</v>
      </c>
      <c r="D21">
        <v>1.1499999999999999</v>
      </c>
      <c r="E21">
        <v>1</v>
      </c>
      <c r="F21">
        <v>1</v>
      </c>
      <c r="G21">
        <v>4.2000000000000003E-2</v>
      </c>
      <c r="H21">
        <v>0</v>
      </c>
      <c r="I21">
        <v>0</v>
      </c>
      <c r="J21" s="1">
        <v>1</v>
      </c>
      <c r="L21">
        <f t="shared" si="0"/>
        <v>0</v>
      </c>
    </row>
    <row r="22" spans="1:12" s="2" customFormat="1" x14ac:dyDescent="0.3">
      <c r="A22" s="2">
        <v>30</v>
      </c>
      <c r="B22" s="2">
        <v>3</v>
      </c>
      <c r="C22" s="3">
        <v>100</v>
      </c>
      <c r="D22" s="2">
        <v>1.1499999999999999</v>
      </c>
      <c r="E22" s="2">
        <v>1</v>
      </c>
      <c r="F22" s="2">
        <v>1</v>
      </c>
      <c r="G22" s="2">
        <v>3.4000000000000002E-2</v>
      </c>
      <c r="H22" s="2">
        <v>0</v>
      </c>
      <c r="I22" s="2">
        <v>0</v>
      </c>
      <c r="J22" s="3">
        <v>1</v>
      </c>
      <c r="K22" s="5">
        <f>AVERAGE(G13:G22)</f>
        <v>4.4699999999999997E-2</v>
      </c>
      <c r="L22" s="2">
        <f t="shared" si="0"/>
        <v>0</v>
      </c>
    </row>
    <row r="23" spans="1:12" x14ac:dyDescent="0.3">
      <c r="A23">
        <v>30</v>
      </c>
      <c r="B23">
        <v>4</v>
      </c>
      <c r="C23" s="1">
        <v>10</v>
      </c>
      <c r="D23">
        <v>1.1499999999999999</v>
      </c>
      <c r="E23">
        <v>0</v>
      </c>
      <c r="F23">
        <v>0</v>
      </c>
      <c r="G23">
        <v>6.0999999999999999E-2</v>
      </c>
      <c r="H23">
        <v>0</v>
      </c>
      <c r="I23">
        <v>0</v>
      </c>
      <c r="J23" s="1">
        <v>1</v>
      </c>
      <c r="L23">
        <f t="shared" si="0"/>
        <v>0</v>
      </c>
    </row>
    <row r="24" spans="1:12" x14ac:dyDescent="0.3">
      <c r="A24">
        <v>30</v>
      </c>
      <c r="B24">
        <v>4</v>
      </c>
      <c r="C24" s="1">
        <v>20</v>
      </c>
      <c r="D24">
        <v>1.1499999999999999</v>
      </c>
      <c r="E24">
        <v>0</v>
      </c>
      <c r="F24">
        <v>0</v>
      </c>
      <c r="G24">
        <v>0.06</v>
      </c>
      <c r="H24">
        <v>0</v>
      </c>
      <c r="I24">
        <v>0</v>
      </c>
      <c r="J24" s="1">
        <v>1</v>
      </c>
      <c r="L24">
        <f t="shared" si="0"/>
        <v>0</v>
      </c>
    </row>
    <row r="25" spans="1:12" x14ac:dyDescent="0.3">
      <c r="A25">
        <v>30</v>
      </c>
      <c r="B25">
        <v>4</v>
      </c>
      <c r="C25" s="1">
        <v>30</v>
      </c>
      <c r="D25">
        <v>1.1499999999999999</v>
      </c>
      <c r="E25">
        <v>0</v>
      </c>
      <c r="F25">
        <v>0</v>
      </c>
      <c r="G25">
        <v>6.3E-2</v>
      </c>
      <c r="H25">
        <v>0</v>
      </c>
      <c r="I25">
        <v>0</v>
      </c>
      <c r="J25" s="1">
        <v>1</v>
      </c>
      <c r="L25">
        <f t="shared" si="0"/>
        <v>0</v>
      </c>
    </row>
    <row r="26" spans="1:12" x14ac:dyDescent="0.3">
      <c r="A26">
        <v>30</v>
      </c>
      <c r="B26">
        <v>4</v>
      </c>
      <c r="C26" s="1">
        <v>40</v>
      </c>
      <c r="D26">
        <v>1.1499999999999999</v>
      </c>
      <c r="E26">
        <v>0</v>
      </c>
      <c r="F26">
        <v>0</v>
      </c>
      <c r="G26">
        <v>6.2E-2</v>
      </c>
      <c r="H26">
        <v>0</v>
      </c>
      <c r="I26">
        <v>0</v>
      </c>
      <c r="J26" s="1">
        <v>1</v>
      </c>
      <c r="L26">
        <f t="shared" si="0"/>
        <v>0</v>
      </c>
    </row>
    <row r="27" spans="1:12" x14ac:dyDescent="0.3">
      <c r="A27">
        <v>30</v>
      </c>
      <c r="B27">
        <v>4</v>
      </c>
      <c r="C27" s="1">
        <v>50</v>
      </c>
      <c r="D27">
        <v>1.1499999999999999</v>
      </c>
      <c r="E27">
        <v>0</v>
      </c>
      <c r="F27">
        <v>0</v>
      </c>
      <c r="G27">
        <v>0.06</v>
      </c>
      <c r="H27">
        <v>0</v>
      </c>
      <c r="I27">
        <v>0</v>
      </c>
      <c r="J27" s="1">
        <v>1</v>
      </c>
      <c r="L27">
        <f t="shared" si="0"/>
        <v>0</v>
      </c>
    </row>
    <row r="28" spans="1:12" x14ac:dyDescent="0.3">
      <c r="A28">
        <v>30</v>
      </c>
      <c r="B28">
        <v>4</v>
      </c>
      <c r="C28" s="1">
        <v>60</v>
      </c>
      <c r="D28">
        <v>1.1499999999999999</v>
      </c>
      <c r="E28">
        <v>0</v>
      </c>
      <c r="F28">
        <v>0</v>
      </c>
      <c r="G28">
        <v>6.5000000000000002E-2</v>
      </c>
      <c r="H28">
        <v>0</v>
      </c>
      <c r="I28">
        <v>0</v>
      </c>
      <c r="J28" s="1">
        <v>1</v>
      </c>
      <c r="L28">
        <f t="shared" si="0"/>
        <v>0</v>
      </c>
    </row>
    <row r="29" spans="1:12" x14ac:dyDescent="0.3">
      <c r="A29">
        <v>30</v>
      </c>
      <c r="B29">
        <v>4</v>
      </c>
      <c r="C29" s="1">
        <v>70</v>
      </c>
      <c r="D29">
        <v>1.1499999999999999</v>
      </c>
      <c r="E29">
        <v>0</v>
      </c>
      <c r="F29">
        <v>0</v>
      </c>
      <c r="G29">
        <v>0.06</v>
      </c>
      <c r="H29">
        <v>0</v>
      </c>
      <c r="I29">
        <v>0</v>
      </c>
      <c r="J29" s="1">
        <v>1</v>
      </c>
      <c r="L29">
        <f t="shared" si="0"/>
        <v>0</v>
      </c>
    </row>
    <row r="30" spans="1:12" x14ac:dyDescent="0.3">
      <c r="A30">
        <v>30</v>
      </c>
      <c r="B30">
        <v>4</v>
      </c>
      <c r="C30" s="1">
        <v>80</v>
      </c>
      <c r="D30">
        <v>1.1499999999999999</v>
      </c>
      <c r="E30">
        <v>0</v>
      </c>
      <c r="F30">
        <v>0</v>
      </c>
      <c r="G30">
        <v>6.2E-2</v>
      </c>
      <c r="H30">
        <v>0</v>
      </c>
      <c r="I30">
        <v>0</v>
      </c>
      <c r="J30" s="1">
        <v>1</v>
      </c>
      <c r="L30">
        <f t="shared" si="0"/>
        <v>0</v>
      </c>
    </row>
    <row r="31" spans="1:12" x14ac:dyDescent="0.3">
      <c r="A31">
        <v>30</v>
      </c>
      <c r="B31">
        <v>4</v>
      </c>
      <c r="C31" s="1">
        <v>90</v>
      </c>
      <c r="D31">
        <v>1.1499999999999999</v>
      </c>
      <c r="E31">
        <v>0</v>
      </c>
      <c r="F31">
        <v>0</v>
      </c>
      <c r="G31">
        <v>6.0999999999999999E-2</v>
      </c>
      <c r="H31">
        <v>0</v>
      </c>
      <c r="I31">
        <v>0</v>
      </c>
      <c r="J31" s="1">
        <v>1</v>
      </c>
      <c r="L31">
        <f t="shared" si="0"/>
        <v>0</v>
      </c>
    </row>
    <row r="32" spans="1:12" s="2" customFormat="1" x14ac:dyDescent="0.3">
      <c r="A32" s="2">
        <v>30</v>
      </c>
      <c r="B32" s="2">
        <v>4</v>
      </c>
      <c r="C32" s="3">
        <v>100</v>
      </c>
      <c r="D32" s="2">
        <v>1.1499999999999999</v>
      </c>
      <c r="E32" s="2">
        <v>0</v>
      </c>
      <c r="F32" s="2">
        <v>0</v>
      </c>
      <c r="G32" s="2">
        <v>6.0999999999999999E-2</v>
      </c>
      <c r="H32" s="2">
        <v>0</v>
      </c>
      <c r="I32" s="2">
        <v>0</v>
      </c>
      <c r="J32" s="3">
        <v>1</v>
      </c>
      <c r="K32" s="5">
        <f>AVERAGE(G23:G32)</f>
        <v>6.1499999999999999E-2</v>
      </c>
      <c r="L32" s="2">
        <f t="shared" si="0"/>
        <v>0</v>
      </c>
    </row>
    <row r="33" spans="1:12" x14ac:dyDescent="0.3">
      <c r="A33">
        <v>30</v>
      </c>
      <c r="B33">
        <v>5</v>
      </c>
      <c r="C33" s="1">
        <v>10</v>
      </c>
      <c r="D33">
        <v>1.1499999999999999</v>
      </c>
      <c r="E33">
        <v>0</v>
      </c>
      <c r="F33">
        <v>0</v>
      </c>
      <c r="G33">
        <v>0.06</v>
      </c>
      <c r="H33">
        <v>0</v>
      </c>
      <c r="I33">
        <v>0</v>
      </c>
      <c r="J33" s="1">
        <v>1</v>
      </c>
      <c r="L33">
        <f t="shared" si="0"/>
        <v>0</v>
      </c>
    </row>
    <row r="34" spans="1:12" x14ac:dyDescent="0.3">
      <c r="A34">
        <v>30</v>
      </c>
      <c r="B34">
        <v>5</v>
      </c>
      <c r="C34" s="1">
        <v>20</v>
      </c>
      <c r="D34">
        <v>1.1499999999999999</v>
      </c>
      <c r="E34">
        <v>0</v>
      </c>
      <c r="F34">
        <v>0</v>
      </c>
      <c r="G34">
        <v>6.2E-2</v>
      </c>
      <c r="H34">
        <v>0</v>
      </c>
      <c r="I34">
        <v>0</v>
      </c>
      <c r="J34" s="1">
        <v>1</v>
      </c>
      <c r="L34">
        <f t="shared" si="0"/>
        <v>0</v>
      </c>
    </row>
    <row r="35" spans="1:12" x14ac:dyDescent="0.3">
      <c r="A35">
        <v>30</v>
      </c>
      <c r="B35">
        <v>5</v>
      </c>
      <c r="C35" s="1">
        <v>30</v>
      </c>
      <c r="D35">
        <v>1.1499999999999999</v>
      </c>
      <c r="E35">
        <v>0</v>
      </c>
      <c r="F35">
        <v>0</v>
      </c>
      <c r="G35">
        <v>5.8000000000000003E-2</v>
      </c>
      <c r="H35">
        <v>0</v>
      </c>
      <c r="I35">
        <v>0</v>
      </c>
      <c r="J35" s="1">
        <v>1</v>
      </c>
      <c r="L35">
        <f t="shared" si="0"/>
        <v>0</v>
      </c>
    </row>
    <row r="36" spans="1:12" x14ac:dyDescent="0.3">
      <c r="A36">
        <v>30</v>
      </c>
      <c r="B36">
        <v>5</v>
      </c>
      <c r="C36" s="1">
        <v>40</v>
      </c>
      <c r="D36">
        <v>1.1499999999999999</v>
      </c>
      <c r="E36">
        <v>0</v>
      </c>
      <c r="F36">
        <v>0</v>
      </c>
      <c r="G36">
        <v>6.6000000000000003E-2</v>
      </c>
      <c r="H36">
        <v>0</v>
      </c>
      <c r="I36">
        <v>0</v>
      </c>
      <c r="J36" s="1">
        <v>1</v>
      </c>
      <c r="L36">
        <f t="shared" si="0"/>
        <v>0</v>
      </c>
    </row>
    <row r="37" spans="1:12" x14ac:dyDescent="0.3">
      <c r="A37">
        <v>30</v>
      </c>
      <c r="B37">
        <v>5</v>
      </c>
      <c r="C37" s="1">
        <v>50</v>
      </c>
      <c r="D37">
        <v>1.1499999999999999</v>
      </c>
      <c r="E37">
        <v>0</v>
      </c>
      <c r="F37">
        <v>0</v>
      </c>
      <c r="G37">
        <v>5.2999999999999999E-2</v>
      </c>
      <c r="H37">
        <v>0</v>
      </c>
      <c r="I37">
        <v>0</v>
      </c>
      <c r="J37" s="1">
        <v>1</v>
      </c>
      <c r="L37">
        <f t="shared" si="0"/>
        <v>0</v>
      </c>
    </row>
    <row r="38" spans="1:12" x14ac:dyDescent="0.3">
      <c r="A38">
        <v>30</v>
      </c>
      <c r="B38">
        <v>5</v>
      </c>
      <c r="C38" s="1">
        <v>60</v>
      </c>
      <c r="D38">
        <v>1.1499999999999999</v>
      </c>
      <c r="E38">
        <v>0</v>
      </c>
      <c r="F38">
        <v>0</v>
      </c>
      <c r="G38">
        <v>0.06</v>
      </c>
      <c r="H38">
        <v>1</v>
      </c>
      <c r="I38">
        <v>1</v>
      </c>
      <c r="J38" s="1">
        <v>1</v>
      </c>
      <c r="L38">
        <f t="shared" si="0"/>
        <v>0</v>
      </c>
    </row>
    <row r="39" spans="1:12" x14ac:dyDescent="0.3">
      <c r="A39">
        <v>30</v>
      </c>
      <c r="B39">
        <v>5</v>
      </c>
      <c r="C39" s="1">
        <v>70</v>
      </c>
      <c r="D39">
        <v>1.1499999999999999</v>
      </c>
      <c r="E39">
        <v>0</v>
      </c>
      <c r="F39">
        <v>0</v>
      </c>
      <c r="G39">
        <v>0.06</v>
      </c>
      <c r="H39">
        <v>0</v>
      </c>
      <c r="I39">
        <v>0</v>
      </c>
      <c r="J39" s="1">
        <v>1</v>
      </c>
      <c r="L39">
        <f t="shared" si="0"/>
        <v>0</v>
      </c>
    </row>
    <row r="40" spans="1:12" x14ac:dyDescent="0.3">
      <c r="A40">
        <v>30</v>
      </c>
      <c r="B40">
        <v>5</v>
      </c>
      <c r="C40" s="1">
        <v>80</v>
      </c>
      <c r="D40">
        <v>1.1499999999999999</v>
      </c>
      <c r="E40">
        <v>0</v>
      </c>
      <c r="F40">
        <v>0</v>
      </c>
      <c r="G40">
        <v>5.8999999999999997E-2</v>
      </c>
      <c r="H40">
        <v>0</v>
      </c>
      <c r="I40">
        <v>0</v>
      </c>
      <c r="J40" s="1">
        <v>1</v>
      </c>
      <c r="L40">
        <f t="shared" si="0"/>
        <v>0</v>
      </c>
    </row>
    <row r="41" spans="1:12" x14ac:dyDescent="0.3">
      <c r="A41">
        <v>30</v>
      </c>
      <c r="B41">
        <v>5</v>
      </c>
      <c r="C41" s="1">
        <v>90</v>
      </c>
      <c r="D41">
        <v>1.1499999999999999</v>
      </c>
      <c r="E41">
        <v>0</v>
      </c>
      <c r="F41">
        <v>0</v>
      </c>
      <c r="G41">
        <v>6.3E-2</v>
      </c>
      <c r="H41">
        <v>0</v>
      </c>
      <c r="I41">
        <v>0</v>
      </c>
      <c r="J41" s="1">
        <v>1</v>
      </c>
      <c r="L41">
        <f t="shared" si="0"/>
        <v>0</v>
      </c>
    </row>
    <row r="42" spans="1:12" s="2" customFormat="1" x14ac:dyDescent="0.3">
      <c r="A42" s="2">
        <v>30</v>
      </c>
      <c r="B42" s="2">
        <v>5</v>
      </c>
      <c r="C42" s="3">
        <v>100</v>
      </c>
      <c r="D42" s="2">
        <v>1.1499999999999999</v>
      </c>
      <c r="E42" s="2">
        <v>0</v>
      </c>
      <c r="F42" s="2">
        <v>0</v>
      </c>
      <c r="G42" s="2">
        <v>6.4000000000000001E-2</v>
      </c>
      <c r="H42" s="2">
        <v>1</v>
      </c>
      <c r="I42" s="2">
        <v>1</v>
      </c>
      <c r="J42" s="3">
        <v>1</v>
      </c>
      <c r="K42" s="5">
        <f>AVERAGE(G33:G42)</f>
        <v>6.0499999999999998E-2</v>
      </c>
      <c r="L42" s="2">
        <f t="shared" si="0"/>
        <v>0</v>
      </c>
    </row>
    <row r="43" spans="1:12" x14ac:dyDescent="0.3">
      <c r="A43">
        <v>40</v>
      </c>
      <c r="B43">
        <v>2</v>
      </c>
      <c r="C43" s="1">
        <v>10</v>
      </c>
      <c r="D43">
        <v>1.1499999999999999</v>
      </c>
      <c r="E43">
        <v>4</v>
      </c>
      <c r="F43">
        <v>4</v>
      </c>
      <c r="G43">
        <v>2.5999999999999999E-2</v>
      </c>
      <c r="H43">
        <v>0</v>
      </c>
      <c r="I43">
        <v>0</v>
      </c>
      <c r="J43" s="1">
        <v>1</v>
      </c>
      <c r="L43">
        <f t="shared" si="0"/>
        <v>0</v>
      </c>
    </row>
    <row r="44" spans="1:12" x14ac:dyDescent="0.3">
      <c r="A44">
        <v>40</v>
      </c>
      <c r="B44">
        <v>2</v>
      </c>
      <c r="C44" s="1">
        <v>20</v>
      </c>
      <c r="D44">
        <v>1.1499999999999999</v>
      </c>
      <c r="E44">
        <v>4</v>
      </c>
      <c r="F44">
        <v>4</v>
      </c>
      <c r="G44">
        <v>2.1000000000000001E-2</v>
      </c>
      <c r="H44">
        <v>0</v>
      </c>
      <c r="I44">
        <v>0</v>
      </c>
      <c r="J44" s="1">
        <v>1</v>
      </c>
      <c r="L44">
        <f t="shared" si="0"/>
        <v>0</v>
      </c>
    </row>
    <row r="45" spans="1:12" x14ac:dyDescent="0.3">
      <c r="A45">
        <v>40</v>
      </c>
      <c r="B45">
        <v>2</v>
      </c>
      <c r="C45" s="1">
        <v>30</v>
      </c>
      <c r="D45">
        <v>1.1499999999999999</v>
      </c>
      <c r="E45">
        <v>4</v>
      </c>
      <c r="F45">
        <v>4</v>
      </c>
      <c r="G45">
        <v>0.02</v>
      </c>
      <c r="H45">
        <v>0</v>
      </c>
      <c r="I45">
        <v>0</v>
      </c>
      <c r="J45" s="1">
        <v>1</v>
      </c>
      <c r="L45">
        <f t="shared" si="0"/>
        <v>0</v>
      </c>
    </row>
    <row r="46" spans="1:12" x14ac:dyDescent="0.3">
      <c r="A46">
        <v>40</v>
      </c>
      <c r="B46">
        <v>2</v>
      </c>
      <c r="C46" s="1">
        <v>40</v>
      </c>
      <c r="D46">
        <v>1.1499999999999999</v>
      </c>
      <c r="E46">
        <v>4</v>
      </c>
      <c r="F46">
        <v>4</v>
      </c>
      <c r="G46">
        <v>2.5999999999999999E-2</v>
      </c>
      <c r="H46">
        <v>0</v>
      </c>
      <c r="I46">
        <v>0</v>
      </c>
      <c r="J46" s="1">
        <v>1</v>
      </c>
      <c r="L46">
        <f t="shared" si="0"/>
        <v>0</v>
      </c>
    </row>
    <row r="47" spans="1:12" x14ac:dyDescent="0.3">
      <c r="A47">
        <v>40</v>
      </c>
      <c r="B47">
        <v>2</v>
      </c>
      <c r="C47" s="1">
        <v>50</v>
      </c>
      <c r="D47">
        <v>1.1499999999999999</v>
      </c>
      <c r="E47">
        <v>4</v>
      </c>
      <c r="F47">
        <v>4</v>
      </c>
      <c r="G47">
        <v>3.5999999999999997E-2</v>
      </c>
      <c r="H47">
        <v>0</v>
      </c>
      <c r="I47">
        <v>0</v>
      </c>
      <c r="J47" s="1">
        <v>1</v>
      </c>
      <c r="L47">
        <f t="shared" si="0"/>
        <v>0</v>
      </c>
    </row>
    <row r="48" spans="1:12" x14ac:dyDescent="0.3">
      <c r="A48">
        <v>40</v>
      </c>
      <c r="B48">
        <v>2</v>
      </c>
      <c r="C48" s="1">
        <v>60</v>
      </c>
      <c r="D48">
        <v>1.1499999999999999</v>
      </c>
      <c r="E48">
        <v>4</v>
      </c>
      <c r="F48">
        <v>4</v>
      </c>
      <c r="G48">
        <v>3.9E-2</v>
      </c>
      <c r="H48">
        <v>0</v>
      </c>
      <c r="I48">
        <v>0</v>
      </c>
      <c r="J48" s="1">
        <v>1</v>
      </c>
      <c r="L48">
        <f t="shared" si="0"/>
        <v>0</v>
      </c>
    </row>
    <row r="49" spans="1:12" x14ac:dyDescent="0.3">
      <c r="A49">
        <v>40</v>
      </c>
      <c r="B49">
        <v>2</v>
      </c>
      <c r="C49" s="1">
        <v>70</v>
      </c>
      <c r="D49">
        <v>1.1499999999999999</v>
      </c>
      <c r="E49">
        <v>4</v>
      </c>
      <c r="F49">
        <v>4</v>
      </c>
      <c r="G49">
        <v>2.1999999999999999E-2</v>
      </c>
      <c r="H49">
        <v>0</v>
      </c>
      <c r="I49">
        <v>0</v>
      </c>
      <c r="J49" s="1">
        <v>1</v>
      </c>
      <c r="L49">
        <f t="shared" si="0"/>
        <v>0</v>
      </c>
    </row>
    <row r="50" spans="1:12" x14ac:dyDescent="0.3">
      <c r="A50">
        <v>40</v>
      </c>
      <c r="B50">
        <v>2</v>
      </c>
      <c r="C50" s="1">
        <v>80</v>
      </c>
      <c r="D50">
        <v>1.1499999999999999</v>
      </c>
      <c r="E50">
        <v>4</v>
      </c>
      <c r="F50">
        <v>4</v>
      </c>
      <c r="G50">
        <v>2.1000000000000001E-2</v>
      </c>
      <c r="H50">
        <v>0</v>
      </c>
      <c r="I50">
        <v>0</v>
      </c>
      <c r="J50" s="1">
        <v>1</v>
      </c>
      <c r="L50">
        <f t="shared" si="0"/>
        <v>0</v>
      </c>
    </row>
    <row r="51" spans="1:12" x14ac:dyDescent="0.3">
      <c r="A51">
        <v>40</v>
      </c>
      <c r="B51">
        <v>2</v>
      </c>
      <c r="C51" s="1">
        <v>90</v>
      </c>
      <c r="D51">
        <v>1.1499999999999999</v>
      </c>
      <c r="E51">
        <v>4</v>
      </c>
      <c r="F51">
        <v>4</v>
      </c>
      <c r="G51">
        <v>3.2000000000000001E-2</v>
      </c>
      <c r="H51">
        <v>0</v>
      </c>
      <c r="I51">
        <v>0</v>
      </c>
      <c r="J51" s="1">
        <v>1</v>
      </c>
      <c r="L51">
        <f t="shared" si="0"/>
        <v>0</v>
      </c>
    </row>
    <row r="52" spans="1:12" s="2" customFormat="1" x14ac:dyDescent="0.3">
      <c r="A52" s="2">
        <v>40</v>
      </c>
      <c r="B52" s="2">
        <v>2</v>
      </c>
      <c r="C52" s="3">
        <v>100</v>
      </c>
      <c r="D52" s="2">
        <v>1.1499999999999999</v>
      </c>
      <c r="E52" s="2">
        <v>4</v>
      </c>
      <c r="F52" s="2">
        <v>4</v>
      </c>
      <c r="G52" s="2">
        <v>3.1E-2</v>
      </c>
      <c r="H52" s="2">
        <v>0</v>
      </c>
      <c r="I52" s="2">
        <v>0</v>
      </c>
      <c r="J52" s="3">
        <v>1</v>
      </c>
      <c r="K52" s="5">
        <f>AVERAGE(G43:G52)</f>
        <v>2.7400000000000001E-2</v>
      </c>
      <c r="L52" s="2">
        <f t="shared" si="0"/>
        <v>0</v>
      </c>
    </row>
    <row r="53" spans="1:12" x14ac:dyDescent="0.3">
      <c r="A53">
        <v>40</v>
      </c>
      <c r="B53">
        <v>3</v>
      </c>
      <c r="C53" s="1">
        <v>10</v>
      </c>
      <c r="D53">
        <v>1.1499999999999999</v>
      </c>
      <c r="E53">
        <v>3</v>
      </c>
      <c r="F53">
        <v>3</v>
      </c>
      <c r="G53">
        <v>0.09</v>
      </c>
      <c r="H53">
        <v>0</v>
      </c>
      <c r="I53">
        <v>0</v>
      </c>
      <c r="J53" s="1">
        <v>1</v>
      </c>
      <c r="L53">
        <f t="shared" si="0"/>
        <v>0</v>
      </c>
    </row>
    <row r="54" spans="1:12" x14ac:dyDescent="0.3">
      <c r="A54">
        <v>40</v>
      </c>
      <c r="B54">
        <v>3</v>
      </c>
      <c r="C54" s="1">
        <v>20</v>
      </c>
      <c r="D54">
        <v>1.1499999999999999</v>
      </c>
      <c r="E54">
        <v>3</v>
      </c>
      <c r="F54">
        <v>3</v>
      </c>
      <c r="G54">
        <v>0.108</v>
      </c>
      <c r="H54">
        <v>0</v>
      </c>
      <c r="I54">
        <v>0</v>
      </c>
      <c r="J54" s="1">
        <v>1</v>
      </c>
      <c r="L54">
        <f t="shared" si="0"/>
        <v>0</v>
      </c>
    </row>
    <row r="55" spans="1:12" x14ac:dyDescent="0.3">
      <c r="A55">
        <v>40</v>
      </c>
      <c r="B55">
        <v>3</v>
      </c>
      <c r="C55" s="1">
        <v>30</v>
      </c>
      <c r="D55">
        <v>1.1499999999999999</v>
      </c>
      <c r="E55">
        <v>3</v>
      </c>
      <c r="F55">
        <v>3</v>
      </c>
      <c r="G55">
        <v>7.0999999999999994E-2</v>
      </c>
      <c r="H55">
        <v>0</v>
      </c>
      <c r="I55">
        <v>0</v>
      </c>
      <c r="J55" s="1">
        <v>1</v>
      </c>
      <c r="L55">
        <f t="shared" si="0"/>
        <v>0</v>
      </c>
    </row>
    <row r="56" spans="1:12" x14ac:dyDescent="0.3">
      <c r="A56">
        <v>40</v>
      </c>
      <c r="B56">
        <v>3</v>
      </c>
      <c r="C56" s="1">
        <v>40</v>
      </c>
      <c r="D56">
        <v>1.1499999999999999</v>
      </c>
      <c r="E56">
        <v>3</v>
      </c>
      <c r="F56">
        <v>3</v>
      </c>
      <c r="G56">
        <v>8.3000000000000004E-2</v>
      </c>
      <c r="H56">
        <v>0</v>
      </c>
      <c r="I56">
        <v>0</v>
      </c>
      <c r="J56" s="1">
        <v>1</v>
      </c>
      <c r="L56">
        <f t="shared" si="0"/>
        <v>0</v>
      </c>
    </row>
    <row r="57" spans="1:12" x14ac:dyDescent="0.3">
      <c r="A57">
        <v>40</v>
      </c>
      <c r="B57">
        <v>3</v>
      </c>
      <c r="C57" s="1">
        <v>50</v>
      </c>
      <c r="D57">
        <v>1.1499999999999999</v>
      </c>
      <c r="E57">
        <v>3</v>
      </c>
      <c r="F57">
        <v>3</v>
      </c>
      <c r="G57">
        <v>0.108</v>
      </c>
      <c r="H57">
        <v>0</v>
      </c>
      <c r="I57">
        <v>0</v>
      </c>
      <c r="J57" s="1">
        <v>1</v>
      </c>
      <c r="L57">
        <f t="shared" si="0"/>
        <v>0</v>
      </c>
    </row>
    <row r="58" spans="1:12" x14ac:dyDescent="0.3">
      <c r="A58">
        <v>40</v>
      </c>
      <c r="B58">
        <v>3</v>
      </c>
      <c r="C58" s="1">
        <v>60</v>
      </c>
      <c r="D58">
        <v>1.1499999999999999</v>
      </c>
      <c r="E58">
        <v>3</v>
      </c>
      <c r="F58">
        <v>3</v>
      </c>
      <c r="G58">
        <v>9.1999999999999998E-2</v>
      </c>
      <c r="H58">
        <v>0</v>
      </c>
      <c r="I58">
        <v>0</v>
      </c>
      <c r="J58" s="1">
        <v>1</v>
      </c>
      <c r="L58">
        <f t="shared" si="0"/>
        <v>0</v>
      </c>
    </row>
    <row r="59" spans="1:12" x14ac:dyDescent="0.3">
      <c r="A59">
        <v>40</v>
      </c>
      <c r="B59">
        <v>3</v>
      </c>
      <c r="C59" s="1">
        <v>70</v>
      </c>
      <c r="D59">
        <v>1.1499999999999999</v>
      </c>
      <c r="E59">
        <v>3</v>
      </c>
      <c r="F59">
        <v>3</v>
      </c>
      <c r="G59">
        <v>7.5999999999999998E-2</v>
      </c>
      <c r="H59">
        <v>0</v>
      </c>
      <c r="I59">
        <v>0</v>
      </c>
      <c r="J59" s="1">
        <v>1</v>
      </c>
      <c r="L59">
        <f t="shared" si="0"/>
        <v>0</v>
      </c>
    </row>
    <row r="60" spans="1:12" x14ac:dyDescent="0.3">
      <c r="A60">
        <v>40</v>
      </c>
      <c r="B60">
        <v>3</v>
      </c>
      <c r="C60" s="1">
        <v>80</v>
      </c>
      <c r="D60">
        <v>1.1499999999999999</v>
      </c>
      <c r="E60">
        <v>3</v>
      </c>
      <c r="F60">
        <v>3</v>
      </c>
      <c r="G60">
        <v>6.6000000000000003E-2</v>
      </c>
      <c r="H60">
        <v>0</v>
      </c>
      <c r="I60">
        <v>0</v>
      </c>
      <c r="J60" s="1">
        <v>1</v>
      </c>
      <c r="L60">
        <f t="shared" si="0"/>
        <v>0</v>
      </c>
    </row>
    <row r="61" spans="1:12" x14ac:dyDescent="0.3">
      <c r="A61">
        <v>40</v>
      </c>
      <c r="B61">
        <v>3</v>
      </c>
      <c r="C61" s="1">
        <v>90</v>
      </c>
      <c r="D61">
        <v>1.1499999999999999</v>
      </c>
      <c r="E61">
        <v>3</v>
      </c>
      <c r="F61">
        <v>3</v>
      </c>
      <c r="G61">
        <v>9.1999999999999998E-2</v>
      </c>
      <c r="H61">
        <v>0</v>
      </c>
      <c r="I61">
        <v>0</v>
      </c>
      <c r="J61" s="1">
        <v>1</v>
      </c>
      <c r="L61">
        <f t="shared" si="0"/>
        <v>0</v>
      </c>
    </row>
    <row r="62" spans="1:12" s="2" customFormat="1" x14ac:dyDescent="0.3">
      <c r="A62" s="2">
        <v>40</v>
      </c>
      <c r="B62" s="2">
        <v>3</v>
      </c>
      <c r="C62" s="3">
        <v>100</v>
      </c>
      <c r="D62" s="2">
        <v>1.1499999999999999</v>
      </c>
      <c r="E62" s="2">
        <v>3</v>
      </c>
      <c r="F62" s="2">
        <v>3</v>
      </c>
      <c r="G62" s="2">
        <v>9.1999999999999998E-2</v>
      </c>
      <c r="H62" s="2">
        <v>0</v>
      </c>
      <c r="I62" s="2">
        <v>0</v>
      </c>
      <c r="J62" s="3">
        <v>1</v>
      </c>
      <c r="K62" s="5">
        <f>AVERAGE(G53:G62)</f>
        <v>8.7799999999999989E-2</v>
      </c>
      <c r="L62" s="2">
        <f t="shared" si="0"/>
        <v>0</v>
      </c>
    </row>
    <row r="63" spans="1:12" x14ac:dyDescent="0.3">
      <c r="A63">
        <v>40</v>
      </c>
      <c r="B63">
        <v>4</v>
      </c>
      <c r="C63" s="1">
        <v>10</v>
      </c>
      <c r="D63">
        <v>1.1499999999999999</v>
      </c>
      <c r="E63">
        <v>2</v>
      </c>
      <c r="F63">
        <v>2</v>
      </c>
      <c r="G63">
        <v>9.5000000000000001E-2</v>
      </c>
      <c r="H63">
        <v>0</v>
      </c>
      <c r="I63">
        <v>0</v>
      </c>
      <c r="J63" s="1">
        <v>1</v>
      </c>
      <c r="L63">
        <f t="shared" si="0"/>
        <v>0</v>
      </c>
    </row>
    <row r="64" spans="1:12" x14ac:dyDescent="0.3">
      <c r="A64">
        <v>40</v>
      </c>
      <c r="B64">
        <v>4</v>
      </c>
      <c r="C64" s="1">
        <v>20</v>
      </c>
      <c r="D64">
        <v>1.1499999999999999</v>
      </c>
      <c r="E64">
        <v>2</v>
      </c>
      <c r="F64">
        <v>2</v>
      </c>
      <c r="G64">
        <v>0.108</v>
      </c>
      <c r="H64">
        <v>0</v>
      </c>
      <c r="I64">
        <v>0</v>
      </c>
      <c r="J64" s="1">
        <v>1</v>
      </c>
      <c r="L64">
        <f t="shared" si="0"/>
        <v>0</v>
      </c>
    </row>
    <row r="65" spans="1:12" x14ac:dyDescent="0.3">
      <c r="A65">
        <v>40</v>
      </c>
      <c r="B65">
        <v>4</v>
      </c>
      <c r="C65" s="1">
        <v>30</v>
      </c>
      <c r="D65">
        <v>1.1499999999999999</v>
      </c>
      <c r="E65">
        <v>2</v>
      </c>
      <c r="F65">
        <v>2</v>
      </c>
      <c r="G65">
        <v>9.2999999999999999E-2</v>
      </c>
      <c r="H65">
        <v>0</v>
      </c>
      <c r="I65">
        <v>0</v>
      </c>
      <c r="J65" s="1">
        <v>1</v>
      </c>
      <c r="L65">
        <f t="shared" si="0"/>
        <v>0</v>
      </c>
    </row>
    <row r="66" spans="1:12" x14ac:dyDescent="0.3">
      <c r="A66">
        <v>40</v>
      </c>
      <c r="B66">
        <v>4</v>
      </c>
      <c r="C66" s="1">
        <v>40</v>
      </c>
      <c r="D66">
        <v>1.1499999999999999</v>
      </c>
      <c r="E66">
        <v>2</v>
      </c>
      <c r="F66">
        <v>2</v>
      </c>
      <c r="G66">
        <v>9.2999999999999999E-2</v>
      </c>
      <c r="H66">
        <v>0</v>
      </c>
      <c r="I66">
        <v>0</v>
      </c>
      <c r="J66" s="1">
        <v>1</v>
      </c>
      <c r="L66">
        <f t="shared" si="0"/>
        <v>0</v>
      </c>
    </row>
    <row r="67" spans="1:12" x14ac:dyDescent="0.3">
      <c r="A67">
        <v>40</v>
      </c>
      <c r="B67">
        <v>4</v>
      </c>
      <c r="C67" s="1">
        <v>50</v>
      </c>
      <c r="D67">
        <v>1.1499999999999999</v>
      </c>
      <c r="E67">
        <v>2</v>
      </c>
      <c r="F67">
        <v>2</v>
      </c>
      <c r="G67">
        <v>9.2999999999999999E-2</v>
      </c>
      <c r="H67">
        <v>0</v>
      </c>
      <c r="I67">
        <v>0</v>
      </c>
      <c r="J67" s="1">
        <v>1</v>
      </c>
      <c r="L67">
        <f t="shared" ref="L67:L130" si="1">IF(ISBLANK(E67),IF(ISBLANK(F67),"",100), IF(E67+F67=0, 0, IF(G67=3600, IF(E67=F67,1,(E67-F67)/E67*100), 0)))</f>
        <v>0</v>
      </c>
    </row>
    <row r="68" spans="1:12" x14ac:dyDescent="0.3">
      <c r="A68">
        <v>40</v>
      </c>
      <c r="B68">
        <v>4</v>
      </c>
      <c r="C68" s="1">
        <v>60</v>
      </c>
      <c r="D68">
        <v>1.1499999999999999</v>
      </c>
      <c r="E68">
        <v>2</v>
      </c>
      <c r="F68">
        <v>2</v>
      </c>
      <c r="G68">
        <v>9.4E-2</v>
      </c>
      <c r="H68">
        <v>0</v>
      </c>
      <c r="I68">
        <v>0</v>
      </c>
      <c r="J68" s="1">
        <v>1</v>
      </c>
      <c r="L68">
        <f t="shared" si="1"/>
        <v>0</v>
      </c>
    </row>
    <row r="69" spans="1:12" x14ac:dyDescent="0.3">
      <c r="A69">
        <v>40</v>
      </c>
      <c r="B69">
        <v>4</v>
      </c>
      <c r="C69" s="1">
        <v>70</v>
      </c>
      <c r="D69">
        <v>1.1499999999999999</v>
      </c>
      <c r="E69">
        <v>2</v>
      </c>
      <c r="F69">
        <v>2</v>
      </c>
      <c r="G69">
        <v>9.0999999999999998E-2</v>
      </c>
      <c r="H69">
        <v>0</v>
      </c>
      <c r="I69">
        <v>0</v>
      </c>
      <c r="J69" s="1">
        <v>1</v>
      </c>
      <c r="L69">
        <f t="shared" si="1"/>
        <v>0</v>
      </c>
    </row>
    <row r="70" spans="1:12" x14ac:dyDescent="0.3">
      <c r="A70">
        <v>40</v>
      </c>
      <c r="B70">
        <v>4</v>
      </c>
      <c r="C70" s="1">
        <v>80</v>
      </c>
      <c r="D70">
        <v>1.1499999999999999</v>
      </c>
      <c r="E70">
        <v>2</v>
      </c>
      <c r="F70">
        <v>2</v>
      </c>
      <c r="G70">
        <v>9.1999999999999998E-2</v>
      </c>
      <c r="H70">
        <v>0</v>
      </c>
      <c r="I70">
        <v>0</v>
      </c>
      <c r="J70" s="1">
        <v>1</v>
      </c>
      <c r="L70">
        <f t="shared" si="1"/>
        <v>0</v>
      </c>
    </row>
    <row r="71" spans="1:12" x14ac:dyDescent="0.3">
      <c r="A71">
        <v>40</v>
      </c>
      <c r="B71">
        <v>4</v>
      </c>
      <c r="C71" s="1">
        <v>90</v>
      </c>
      <c r="D71">
        <v>1.1499999999999999</v>
      </c>
      <c r="E71">
        <v>2</v>
      </c>
      <c r="F71">
        <v>2</v>
      </c>
      <c r="G71">
        <v>9.4E-2</v>
      </c>
      <c r="H71">
        <v>0</v>
      </c>
      <c r="I71">
        <v>0</v>
      </c>
      <c r="J71" s="1">
        <v>1</v>
      </c>
      <c r="L71">
        <f t="shared" si="1"/>
        <v>0</v>
      </c>
    </row>
    <row r="72" spans="1:12" s="2" customFormat="1" x14ac:dyDescent="0.3">
      <c r="A72" s="2">
        <v>40</v>
      </c>
      <c r="B72" s="2">
        <v>4</v>
      </c>
      <c r="C72" s="3">
        <v>100</v>
      </c>
      <c r="D72" s="2">
        <v>1.1499999999999999</v>
      </c>
      <c r="E72" s="2">
        <v>2</v>
      </c>
      <c r="F72" s="2">
        <v>2</v>
      </c>
      <c r="G72" s="2">
        <v>0.108</v>
      </c>
      <c r="H72" s="2">
        <v>0</v>
      </c>
      <c r="I72" s="2">
        <v>0</v>
      </c>
      <c r="J72" s="3">
        <v>1</v>
      </c>
      <c r="K72" s="5">
        <f>AVERAGE(G63:G72)</f>
        <v>9.6099999999999991E-2</v>
      </c>
      <c r="L72" s="2">
        <f t="shared" si="1"/>
        <v>0</v>
      </c>
    </row>
    <row r="73" spans="1:12" x14ac:dyDescent="0.3">
      <c r="A73">
        <v>40</v>
      </c>
      <c r="B73">
        <v>5</v>
      </c>
      <c r="C73" s="1">
        <v>10</v>
      </c>
      <c r="D73">
        <v>1.1499999999999999</v>
      </c>
      <c r="E73">
        <v>1</v>
      </c>
      <c r="F73">
        <v>1</v>
      </c>
      <c r="G73">
        <v>0.14000000000000001</v>
      </c>
      <c r="H73">
        <v>0</v>
      </c>
      <c r="I73">
        <v>0</v>
      </c>
      <c r="J73" s="1">
        <v>1</v>
      </c>
      <c r="L73">
        <f t="shared" si="1"/>
        <v>0</v>
      </c>
    </row>
    <row r="74" spans="1:12" x14ac:dyDescent="0.3">
      <c r="A74">
        <v>40</v>
      </c>
      <c r="B74">
        <v>5</v>
      </c>
      <c r="C74" s="1">
        <v>20</v>
      </c>
      <c r="D74">
        <v>1.1499999999999999</v>
      </c>
      <c r="E74">
        <v>1</v>
      </c>
      <c r="F74">
        <v>1</v>
      </c>
      <c r="G74">
        <v>0.153</v>
      </c>
      <c r="H74">
        <v>0</v>
      </c>
      <c r="I74">
        <v>0</v>
      </c>
      <c r="J74" s="1">
        <v>1</v>
      </c>
      <c r="L74">
        <f t="shared" si="1"/>
        <v>0</v>
      </c>
    </row>
    <row r="75" spans="1:12" x14ac:dyDescent="0.3">
      <c r="A75">
        <v>40</v>
      </c>
      <c r="B75">
        <v>5</v>
      </c>
      <c r="C75" s="1">
        <v>30</v>
      </c>
      <c r="D75">
        <v>1.1499999999999999</v>
      </c>
      <c r="E75">
        <v>1</v>
      </c>
      <c r="F75">
        <v>1</v>
      </c>
      <c r="G75">
        <v>0.14000000000000001</v>
      </c>
      <c r="H75">
        <v>0</v>
      </c>
      <c r="I75">
        <v>0</v>
      </c>
      <c r="J75" s="1">
        <v>1</v>
      </c>
      <c r="L75">
        <f t="shared" si="1"/>
        <v>0</v>
      </c>
    </row>
    <row r="76" spans="1:12" x14ac:dyDescent="0.3">
      <c r="A76">
        <v>40</v>
      </c>
      <c r="B76">
        <v>5</v>
      </c>
      <c r="C76" s="1">
        <v>40</v>
      </c>
      <c r="D76">
        <v>1.1499999999999999</v>
      </c>
      <c r="E76">
        <v>1</v>
      </c>
      <c r="F76">
        <v>1</v>
      </c>
      <c r="G76">
        <v>0.14799999999999999</v>
      </c>
      <c r="H76">
        <v>0</v>
      </c>
      <c r="I76">
        <v>0</v>
      </c>
      <c r="J76" s="1">
        <v>1</v>
      </c>
      <c r="L76">
        <f t="shared" si="1"/>
        <v>0</v>
      </c>
    </row>
    <row r="77" spans="1:12" x14ac:dyDescent="0.3">
      <c r="A77">
        <v>40</v>
      </c>
      <c r="B77">
        <v>5</v>
      </c>
      <c r="C77" s="1">
        <v>50</v>
      </c>
      <c r="D77">
        <v>1.1499999999999999</v>
      </c>
      <c r="E77">
        <v>1</v>
      </c>
      <c r="F77">
        <v>1</v>
      </c>
      <c r="G77">
        <v>0.16400000000000001</v>
      </c>
      <c r="H77">
        <v>0</v>
      </c>
      <c r="I77">
        <v>0</v>
      </c>
      <c r="J77" s="1">
        <v>1</v>
      </c>
      <c r="L77">
        <f t="shared" si="1"/>
        <v>0</v>
      </c>
    </row>
    <row r="78" spans="1:12" x14ac:dyDescent="0.3">
      <c r="A78">
        <v>40</v>
      </c>
      <c r="B78">
        <v>5</v>
      </c>
      <c r="C78" s="1">
        <v>60</v>
      </c>
      <c r="D78">
        <v>1.1499999999999999</v>
      </c>
      <c r="E78">
        <v>1</v>
      </c>
      <c r="F78">
        <v>1</v>
      </c>
      <c r="G78">
        <v>0.14299999999999999</v>
      </c>
      <c r="H78">
        <v>0</v>
      </c>
      <c r="I78">
        <v>0</v>
      </c>
      <c r="J78" s="1">
        <v>1</v>
      </c>
      <c r="L78">
        <f t="shared" si="1"/>
        <v>0</v>
      </c>
    </row>
    <row r="79" spans="1:12" x14ac:dyDescent="0.3">
      <c r="A79">
        <v>40</v>
      </c>
      <c r="B79">
        <v>5</v>
      </c>
      <c r="C79" s="1">
        <v>70</v>
      </c>
      <c r="D79">
        <v>1.1499999999999999</v>
      </c>
      <c r="E79">
        <v>1</v>
      </c>
      <c r="F79">
        <v>1</v>
      </c>
      <c r="G79">
        <v>0.13900000000000001</v>
      </c>
      <c r="H79">
        <v>0</v>
      </c>
      <c r="I79">
        <v>0</v>
      </c>
      <c r="J79" s="1">
        <v>1</v>
      </c>
      <c r="L79">
        <f t="shared" si="1"/>
        <v>0</v>
      </c>
    </row>
    <row r="80" spans="1:12" x14ac:dyDescent="0.3">
      <c r="A80">
        <v>40</v>
      </c>
      <c r="B80">
        <v>5</v>
      </c>
      <c r="C80" s="1">
        <v>80</v>
      </c>
      <c r="D80">
        <v>1.1499999999999999</v>
      </c>
      <c r="E80">
        <v>1</v>
      </c>
      <c r="F80">
        <v>1</v>
      </c>
      <c r="G80">
        <v>0.13900000000000001</v>
      </c>
      <c r="H80">
        <v>0</v>
      </c>
      <c r="I80">
        <v>0</v>
      </c>
      <c r="J80" s="1">
        <v>1</v>
      </c>
      <c r="L80">
        <f t="shared" si="1"/>
        <v>0</v>
      </c>
    </row>
    <row r="81" spans="1:12" x14ac:dyDescent="0.3">
      <c r="A81">
        <v>40</v>
      </c>
      <c r="B81">
        <v>5</v>
      </c>
      <c r="C81" s="1">
        <v>90</v>
      </c>
      <c r="D81">
        <v>1.1499999999999999</v>
      </c>
      <c r="E81">
        <v>1</v>
      </c>
      <c r="F81">
        <v>1</v>
      </c>
      <c r="G81">
        <v>0.154</v>
      </c>
      <c r="H81">
        <v>0</v>
      </c>
      <c r="I81">
        <v>0</v>
      </c>
      <c r="J81" s="1">
        <v>1</v>
      </c>
      <c r="L81">
        <f t="shared" si="1"/>
        <v>0</v>
      </c>
    </row>
    <row r="82" spans="1:12" s="2" customFormat="1" x14ac:dyDescent="0.3">
      <c r="A82" s="2">
        <v>40</v>
      </c>
      <c r="B82" s="2">
        <v>5</v>
      </c>
      <c r="C82" s="3">
        <v>100</v>
      </c>
      <c r="D82" s="2">
        <v>1.1499999999999999</v>
      </c>
      <c r="E82" s="2">
        <v>1</v>
      </c>
      <c r="F82" s="2">
        <v>1</v>
      </c>
      <c r="G82" s="2">
        <v>0.156</v>
      </c>
      <c r="H82" s="2">
        <v>0</v>
      </c>
      <c r="I82" s="2">
        <v>0</v>
      </c>
      <c r="J82" s="3">
        <v>1</v>
      </c>
      <c r="K82" s="5">
        <f>AVERAGE(G73:G82)</f>
        <v>0.14760000000000001</v>
      </c>
      <c r="L82" s="2">
        <f t="shared" si="1"/>
        <v>0</v>
      </c>
    </row>
    <row r="83" spans="1:12" x14ac:dyDescent="0.3">
      <c r="A83">
        <v>50</v>
      </c>
      <c r="B83">
        <v>2</v>
      </c>
      <c r="C83" s="1">
        <v>10</v>
      </c>
      <c r="D83">
        <v>1.1499999999999999</v>
      </c>
      <c r="E83">
        <v>5</v>
      </c>
      <c r="F83">
        <v>5</v>
      </c>
      <c r="G83">
        <v>5.8000000000000003E-2</v>
      </c>
      <c r="H83">
        <v>0</v>
      </c>
      <c r="I83">
        <v>0</v>
      </c>
      <c r="J83" s="1">
        <v>1</v>
      </c>
      <c r="L83">
        <f t="shared" si="1"/>
        <v>0</v>
      </c>
    </row>
    <row r="84" spans="1:12" x14ac:dyDescent="0.3">
      <c r="A84">
        <v>50</v>
      </c>
      <c r="B84">
        <v>2</v>
      </c>
      <c r="C84" s="1">
        <v>20</v>
      </c>
      <c r="D84">
        <v>1.1499999999999999</v>
      </c>
      <c r="E84">
        <v>5</v>
      </c>
      <c r="F84">
        <v>5</v>
      </c>
      <c r="G84">
        <v>6.0999999999999999E-2</v>
      </c>
      <c r="H84">
        <v>0</v>
      </c>
      <c r="I84">
        <v>0</v>
      </c>
      <c r="J84" s="1">
        <v>1</v>
      </c>
      <c r="L84">
        <f t="shared" si="1"/>
        <v>0</v>
      </c>
    </row>
    <row r="85" spans="1:12" x14ac:dyDescent="0.3">
      <c r="A85">
        <v>50</v>
      </c>
      <c r="B85">
        <v>2</v>
      </c>
      <c r="C85" s="1">
        <v>30</v>
      </c>
      <c r="D85">
        <v>1.1499999999999999</v>
      </c>
      <c r="E85">
        <v>5</v>
      </c>
      <c r="F85">
        <v>5</v>
      </c>
      <c r="G85">
        <v>2.1999999999999999E-2</v>
      </c>
      <c r="H85">
        <v>0</v>
      </c>
      <c r="I85">
        <v>0</v>
      </c>
      <c r="J85" s="1">
        <v>1</v>
      </c>
      <c r="L85">
        <f t="shared" si="1"/>
        <v>0</v>
      </c>
    </row>
    <row r="86" spans="1:12" x14ac:dyDescent="0.3">
      <c r="A86">
        <v>50</v>
      </c>
      <c r="B86">
        <v>2</v>
      </c>
      <c r="C86" s="1">
        <v>40</v>
      </c>
      <c r="D86">
        <v>1.1499999999999999</v>
      </c>
      <c r="E86">
        <v>5</v>
      </c>
      <c r="F86">
        <v>5</v>
      </c>
      <c r="G86">
        <v>5.1999999999999998E-2</v>
      </c>
      <c r="H86">
        <v>0</v>
      </c>
      <c r="I86">
        <v>0</v>
      </c>
      <c r="J86" s="1">
        <v>1</v>
      </c>
      <c r="L86">
        <f t="shared" si="1"/>
        <v>0</v>
      </c>
    </row>
    <row r="87" spans="1:12" x14ac:dyDescent="0.3">
      <c r="A87">
        <v>50</v>
      </c>
      <c r="B87">
        <v>2</v>
      </c>
      <c r="C87" s="1">
        <v>50</v>
      </c>
      <c r="D87">
        <v>1.1499999999999999</v>
      </c>
      <c r="E87">
        <v>5</v>
      </c>
      <c r="F87">
        <v>5</v>
      </c>
      <c r="G87">
        <v>0.06</v>
      </c>
      <c r="H87">
        <v>0</v>
      </c>
      <c r="I87">
        <v>0</v>
      </c>
      <c r="J87" s="1">
        <v>1</v>
      </c>
      <c r="L87">
        <f t="shared" si="1"/>
        <v>0</v>
      </c>
    </row>
    <row r="88" spans="1:12" x14ac:dyDescent="0.3">
      <c r="A88">
        <v>50</v>
      </c>
      <c r="B88">
        <v>2</v>
      </c>
      <c r="C88" s="1">
        <v>60</v>
      </c>
      <c r="D88">
        <v>1.1499999999999999</v>
      </c>
      <c r="E88">
        <v>5</v>
      </c>
      <c r="F88">
        <v>5</v>
      </c>
      <c r="G88">
        <v>3.4000000000000002E-2</v>
      </c>
      <c r="H88">
        <v>0</v>
      </c>
      <c r="I88">
        <v>0</v>
      </c>
      <c r="J88" s="1">
        <v>1</v>
      </c>
      <c r="L88">
        <f t="shared" si="1"/>
        <v>0</v>
      </c>
    </row>
    <row r="89" spans="1:12" x14ac:dyDescent="0.3">
      <c r="A89">
        <v>50</v>
      </c>
      <c r="B89">
        <v>2</v>
      </c>
      <c r="C89" s="1">
        <v>70</v>
      </c>
      <c r="D89">
        <v>1.1499999999999999</v>
      </c>
      <c r="E89">
        <v>5</v>
      </c>
      <c r="F89">
        <v>5</v>
      </c>
      <c r="G89">
        <v>181.27799999999999</v>
      </c>
      <c r="H89">
        <v>0</v>
      </c>
      <c r="I89">
        <v>0</v>
      </c>
      <c r="J89" s="1">
        <v>2</v>
      </c>
      <c r="L89">
        <f t="shared" si="1"/>
        <v>0</v>
      </c>
    </row>
    <row r="90" spans="1:12" x14ac:dyDescent="0.3">
      <c r="A90">
        <v>50</v>
      </c>
      <c r="B90">
        <v>2</v>
      </c>
      <c r="C90" s="1">
        <v>80</v>
      </c>
      <c r="D90">
        <v>1.1499999999999999</v>
      </c>
      <c r="E90">
        <v>5</v>
      </c>
      <c r="F90">
        <v>5</v>
      </c>
      <c r="G90">
        <v>5.2999999999999999E-2</v>
      </c>
      <c r="H90">
        <v>0</v>
      </c>
      <c r="I90">
        <v>0</v>
      </c>
      <c r="J90" s="1">
        <v>1</v>
      </c>
      <c r="L90">
        <f t="shared" si="1"/>
        <v>0</v>
      </c>
    </row>
    <row r="91" spans="1:12" x14ac:dyDescent="0.3">
      <c r="A91">
        <v>50</v>
      </c>
      <c r="B91">
        <v>2</v>
      </c>
      <c r="C91" s="1">
        <v>90</v>
      </c>
      <c r="D91">
        <v>1.1499999999999999</v>
      </c>
      <c r="E91">
        <v>5</v>
      </c>
      <c r="F91">
        <v>5</v>
      </c>
      <c r="G91">
        <v>6.4000000000000001E-2</v>
      </c>
      <c r="H91">
        <v>0</v>
      </c>
      <c r="I91">
        <v>0</v>
      </c>
      <c r="J91" s="1">
        <v>1</v>
      </c>
      <c r="L91">
        <f t="shared" si="1"/>
        <v>0</v>
      </c>
    </row>
    <row r="92" spans="1:12" s="2" customFormat="1" x14ac:dyDescent="0.3">
      <c r="A92" s="2">
        <v>50</v>
      </c>
      <c r="B92" s="2">
        <v>2</v>
      </c>
      <c r="C92" s="3">
        <v>100</v>
      </c>
      <c r="D92" s="2">
        <v>1.1499999999999999</v>
      </c>
      <c r="E92" s="2">
        <v>5</v>
      </c>
      <c r="F92" s="2">
        <v>5</v>
      </c>
      <c r="G92" s="2">
        <v>5.2999999999999999E-2</v>
      </c>
      <c r="H92" s="2">
        <v>0</v>
      </c>
      <c r="I92" s="2">
        <v>0</v>
      </c>
      <c r="J92" s="3">
        <v>1</v>
      </c>
      <c r="K92" s="5">
        <f>AVERAGE(G83:G92)</f>
        <v>18.173499999999997</v>
      </c>
      <c r="L92" s="2">
        <f t="shared" si="1"/>
        <v>0</v>
      </c>
    </row>
    <row r="93" spans="1:12" x14ac:dyDescent="0.3">
      <c r="A93">
        <v>50</v>
      </c>
      <c r="B93">
        <v>3</v>
      </c>
      <c r="C93" s="1">
        <v>10</v>
      </c>
      <c r="D93">
        <v>1.1499999999999999</v>
      </c>
      <c r="E93">
        <v>4</v>
      </c>
      <c r="F93">
        <v>4</v>
      </c>
      <c r="G93">
        <v>0.13</v>
      </c>
      <c r="H93">
        <v>0</v>
      </c>
      <c r="I93">
        <v>0</v>
      </c>
      <c r="J93" s="1">
        <v>1</v>
      </c>
      <c r="L93">
        <f t="shared" si="1"/>
        <v>0</v>
      </c>
    </row>
    <row r="94" spans="1:12" x14ac:dyDescent="0.3">
      <c r="A94">
        <v>50</v>
      </c>
      <c r="B94">
        <v>3</v>
      </c>
      <c r="C94" s="1">
        <v>20</v>
      </c>
      <c r="D94">
        <v>1.1499999999999999</v>
      </c>
      <c r="E94">
        <v>4</v>
      </c>
      <c r="F94">
        <v>4</v>
      </c>
      <c r="G94">
        <v>0.124</v>
      </c>
      <c r="H94">
        <v>0</v>
      </c>
      <c r="I94">
        <v>0</v>
      </c>
      <c r="J94" s="1">
        <v>1</v>
      </c>
      <c r="L94">
        <f t="shared" si="1"/>
        <v>0</v>
      </c>
    </row>
    <row r="95" spans="1:12" x14ac:dyDescent="0.3">
      <c r="A95">
        <v>50</v>
      </c>
      <c r="B95">
        <v>3</v>
      </c>
      <c r="C95" s="1">
        <v>30</v>
      </c>
      <c r="D95">
        <v>1.1499999999999999</v>
      </c>
      <c r="E95">
        <v>4</v>
      </c>
      <c r="F95">
        <v>4</v>
      </c>
      <c r="G95">
        <v>0.123</v>
      </c>
      <c r="H95">
        <v>0</v>
      </c>
      <c r="I95">
        <v>0</v>
      </c>
      <c r="J95" s="1">
        <v>1</v>
      </c>
      <c r="L95">
        <f t="shared" si="1"/>
        <v>0</v>
      </c>
    </row>
    <row r="96" spans="1:12" x14ac:dyDescent="0.3">
      <c r="A96">
        <v>50</v>
      </c>
      <c r="B96">
        <v>3</v>
      </c>
      <c r="C96" s="1">
        <v>40</v>
      </c>
      <c r="D96">
        <v>1.1499999999999999</v>
      </c>
      <c r="E96">
        <v>4</v>
      </c>
      <c r="F96">
        <v>4</v>
      </c>
      <c r="G96">
        <v>0.115</v>
      </c>
      <c r="H96">
        <v>0</v>
      </c>
      <c r="I96">
        <v>0</v>
      </c>
      <c r="J96" s="1">
        <v>1</v>
      </c>
      <c r="L96">
        <f t="shared" si="1"/>
        <v>0</v>
      </c>
    </row>
    <row r="97" spans="1:12" x14ac:dyDescent="0.3">
      <c r="A97">
        <v>50</v>
      </c>
      <c r="B97">
        <v>3</v>
      </c>
      <c r="C97" s="1">
        <v>50</v>
      </c>
      <c r="D97">
        <v>1.1499999999999999</v>
      </c>
      <c r="E97">
        <v>4</v>
      </c>
      <c r="F97">
        <v>4</v>
      </c>
      <c r="G97">
        <v>0.11600000000000001</v>
      </c>
      <c r="H97">
        <v>0</v>
      </c>
      <c r="I97">
        <v>0</v>
      </c>
      <c r="J97" s="1">
        <v>1</v>
      </c>
      <c r="L97">
        <f t="shared" si="1"/>
        <v>0</v>
      </c>
    </row>
    <row r="98" spans="1:12" x14ac:dyDescent="0.3">
      <c r="A98">
        <v>50</v>
      </c>
      <c r="B98">
        <v>3</v>
      </c>
      <c r="C98" s="1">
        <v>60</v>
      </c>
      <c r="D98">
        <v>1.1499999999999999</v>
      </c>
      <c r="E98">
        <v>4</v>
      </c>
      <c r="F98">
        <v>4</v>
      </c>
      <c r="G98">
        <v>0.125</v>
      </c>
      <c r="H98">
        <v>0</v>
      </c>
      <c r="I98">
        <v>0</v>
      </c>
      <c r="J98" s="1">
        <v>1</v>
      </c>
      <c r="L98">
        <f t="shared" si="1"/>
        <v>0</v>
      </c>
    </row>
    <row r="99" spans="1:12" x14ac:dyDescent="0.3">
      <c r="A99">
        <v>50</v>
      </c>
      <c r="B99">
        <v>3</v>
      </c>
      <c r="C99" s="1">
        <v>70</v>
      </c>
      <c r="D99">
        <v>1.1499999999999999</v>
      </c>
      <c r="E99">
        <v>4</v>
      </c>
      <c r="F99">
        <v>4</v>
      </c>
      <c r="G99">
        <v>0.121</v>
      </c>
      <c r="H99">
        <v>0</v>
      </c>
      <c r="I99">
        <v>0</v>
      </c>
      <c r="J99" s="1">
        <v>1</v>
      </c>
      <c r="L99">
        <f t="shared" si="1"/>
        <v>0</v>
      </c>
    </row>
    <row r="100" spans="1:12" x14ac:dyDescent="0.3">
      <c r="A100">
        <v>50</v>
      </c>
      <c r="B100">
        <v>3</v>
      </c>
      <c r="C100" s="1">
        <v>80</v>
      </c>
      <c r="D100">
        <v>1.1499999999999999</v>
      </c>
      <c r="E100">
        <v>4</v>
      </c>
      <c r="F100">
        <v>4</v>
      </c>
      <c r="G100">
        <v>0.125</v>
      </c>
      <c r="H100">
        <v>0</v>
      </c>
      <c r="I100">
        <v>0</v>
      </c>
      <c r="J100" s="1">
        <v>1</v>
      </c>
      <c r="L100">
        <f t="shared" si="1"/>
        <v>0</v>
      </c>
    </row>
    <row r="101" spans="1:12" x14ac:dyDescent="0.3">
      <c r="A101">
        <v>50</v>
      </c>
      <c r="B101">
        <v>3</v>
      </c>
      <c r="C101" s="1">
        <v>90</v>
      </c>
      <c r="D101">
        <v>1.1499999999999999</v>
      </c>
      <c r="E101">
        <v>4</v>
      </c>
      <c r="F101">
        <v>4</v>
      </c>
      <c r="G101">
        <v>0.126</v>
      </c>
      <c r="H101">
        <v>0</v>
      </c>
      <c r="I101">
        <v>0</v>
      </c>
      <c r="J101" s="1">
        <v>1</v>
      </c>
      <c r="L101">
        <f t="shared" si="1"/>
        <v>0</v>
      </c>
    </row>
    <row r="102" spans="1:12" s="2" customFormat="1" x14ac:dyDescent="0.3">
      <c r="A102" s="2">
        <v>50</v>
      </c>
      <c r="B102" s="2">
        <v>3</v>
      </c>
      <c r="C102" s="3">
        <v>100</v>
      </c>
      <c r="D102" s="2">
        <v>1.1499999999999999</v>
      </c>
      <c r="E102" s="2">
        <v>4</v>
      </c>
      <c r="F102" s="2">
        <v>4</v>
      </c>
      <c r="G102" s="2">
        <v>0.13700000000000001</v>
      </c>
      <c r="H102" s="2">
        <v>0</v>
      </c>
      <c r="I102" s="2">
        <v>0</v>
      </c>
      <c r="J102" s="3">
        <v>1</v>
      </c>
      <c r="K102" s="5">
        <f>AVERAGE(G93:G102)</f>
        <v>0.1242</v>
      </c>
      <c r="L102" s="2">
        <f t="shared" si="1"/>
        <v>0</v>
      </c>
    </row>
    <row r="103" spans="1:12" x14ac:dyDescent="0.3">
      <c r="A103">
        <v>50</v>
      </c>
      <c r="B103">
        <v>4</v>
      </c>
      <c r="C103" s="1">
        <v>10</v>
      </c>
      <c r="D103">
        <v>1.1499999999999999</v>
      </c>
      <c r="E103">
        <v>3</v>
      </c>
      <c r="F103">
        <v>3</v>
      </c>
      <c r="G103">
        <v>0.154</v>
      </c>
      <c r="H103">
        <v>0</v>
      </c>
      <c r="I103">
        <v>0</v>
      </c>
      <c r="J103" s="1">
        <v>1</v>
      </c>
      <c r="L103">
        <f t="shared" si="1"/>
        <v>0</v>
      </c>
    </row>
    <row r="104" spans="1:12" x14ac:dyDescent="0.3">
      <c r="A104">
        <v>50</v>
      </c>
      <c r="B104">
        <v>4</v>
      </c>
      <c r="C104" s="1">
        <v>20</v>
      </c>
      <c r="D104">
        <v>1.1499999999999999</v>
      </c>
      <c r="E104">
        <v>3</v>
      </c>
      <c r="F104">
        <v>3</v>
      </c>
      <c r="G104">
        <v>0.13900000000000001</v>
      </c>
      <c r="H104">
        <v>0</v>
      </c>
      <c r="I104">
        <v>0</v>
      </c>
      <c r="J104" s="1">
        <v>1</v>
      </c>
      <c r="L104">
        <f t="shared" si="1"/>
        <v>0</v>
      </c>
    </row>
    <row r="105" spans="1:12" x14ac:dyDescent="0.3">
      <c r="A105">
        <v>50</v>
      </c>
      <c r="B105">
        <v>4</v>
      </c>
      <c r="C105" s="1">
        <v>30</v>
      </c>
      <c r="D105">
        <v>1.1499999999999999</v>
      </c>
      <c r="E105">
        <v>3</v>
      </c>
      <c r="F105">
        <v>3</v>
      </c>
      <c r="G105">
        <v>0.122</v>
      </c>
      <c r="H105">
        <v>0</v>
      </c>
      <c r="I105">
        <v>0</v>
      </c>
      <c r="J105" s="1">
        <v>1</v>
      </c>
      <c r="L105">
        <f t="shared" si="1"/>
        <v>0</v>
      </c>
    </row>
    <row r="106" spans="1:12" x14ac:dyDescent="0.3">
      <c r="A106">
        <v>50</v>
      </c>
      <c r="B106">
        <v>4</v>
      </c>
      <c r="C106" s="1">
        <v>40</v>
      </c>
      <c r="D106">
        <v>1.1499999999999999</v>
      </c>
      <c r="E106">
        <v>3</v>
      </c>
      <c r="F106">
        <v>3</v>
      </c>
      <c r="G106">
        <v>0.17</v>
      </c>
      <c r="H106">
        <v>0</v>
      </c>
      <c r="I106">
        <v>0</v>
      </c>
      <c r="J106" s="1">
        <v>1</v>
      </c>
      <c r="L106">
        <f t="shared" si="1"/>
        <v>0</v>
      </c>
    </row>
    <row r="107" spans="1:12" x14ac:dyDescent="0.3">
      <c r="A107">
        <v>50</v>
      </c>
      <c r="B107">
        <v>4</v>
      </c>
      <c r="C107" s="1">
        <v>50</v>
      </c>
      <c r="D107">
        <v>1.1499999999999999</v>
      </c>
      <c r="E107">
        <v>3</v>
      </c>
      <c r="F107">
        <v>3</v>
      </c>
      <c r="G107">
        <v>0.158</v>
      </c>
      <c r="H107">
        <v>0</v>
      </c>
      <c r="I107">
        <v>0</v>
      </c>
      <c r="J107" s="1">
        <v>1</v>
      </c>
      <c r="L107">
        <f t="shared" si="1"/>
        <v>0</v>
      </c>
    </row>
    <row r="108" spans="1:12" x14ac:dyDescent="0.3">
      <c r="A108">
        <v>50</v>
      </c>
      <c r="B108">
        <v>4</v>
      </c>
      <c r="C108" s="1">
        <v>60</v>
      </c>
      <c r="D108">
        <v>1.1499999999999999</v>
      </c>
      <c r="E108">
        <v>3</v>
      </c>
      <c r="F108">
        <v>3</v>
      </c>
      <c r="G108">
        <v>0.14000000000000001</v>
      </c>
      <c r="H108">
        <v>0</v>
      </c>
      <c r="I108">
        <v>0</v>
      </c>
      <c r="J108" s="1">
        <v>1</v>
      </c>
      <c r="L108">
        <f t="shared" si="1"/>
        <v>0</v>
      </c>
    </row>
    <row r="109" spans="1:12" x14ac:dyDescent="0.3">
      <c r="A109">
        <v>50</v>
      </c>
      <c r="B109">
        <v>4</v>
      </c>
      <c r="C109" s="1">
        <v>70</v>
      </c>
      <c r="D109">
        <v>1.1499999999999999</v>
      </c>
      <c r="E109">
        <v>3</v>
      </c>
      <c r="F109">
        <v>3</v>
      </c>
      <c r="G109">
        <v>0.11</v>
      </c>
      <c r="H109">
        <v>0</v>
      </c>
      <c r="I109">
        <v>0</v>
      </c>
      <c r="J109" s="1">
        <v>1</v>
      </c>
      <c r="L109">
        <f t="shared" si="1"/>
        <v>0</v>
      </c>
    </row>
    <row r="110" spans="1:12" x14ac:dyDescent="0.3">
      <c r="A110">
        <v>50</v>
      </c>
      <c r="B110">
        <v>4</v>
      </c>
      <c r="C110" s="1">
        <v>80</v>
      </c>
      <c r="D110">
        <v>1.1499999999999999</v>
      </c>
      <c r="E110">
        <v>3</v>
      </c>
      <c r="F110">
        <v>3</v>
      </c>
      <c r="G110">
        <v>0.13800000000000001</v>
      </c>
      <c r="H110">
        <v>0</v>
      </c>
      <c r="I110">
        <v>0</v>
      </c>
      <c r="J110" s="1">
        <v>1</v>
      </c>
      <c r="L110">
        <f t="shared" si="1"/>
        <v>0</v>
      </c>
    </row>
    <row r="111" spans="1:12" x14ac:dyDescent="0.3">
      <c r="A111">
        <v>50</v>
      </c>
      <c r="B111">
        <v>4</v>
      </c>
      <c r="C111" s="1">
        <v>90</v>
      </c>
      <c r="D111">
        <v>1.1499999999999999</v>
      </c>
      <c r="E111">
        <v>3</v>
      </c>
      <c r="F111">
        <v>3</v>
      </c>
      <c r="G111">
        <v>0.155</v>
      </c>
      <c r="H111">
        <v>0</v>
      </c>
      <c r="I111">
        <v>0</v>
      </c>
      <c r="J111" s="1">
        <v>1</v>
      </c>
      <c r="L111">
        <f t="shared" si="1"/>
        <v>0</v>
      </c>
    </row>
    <row r="112" spans="1:12" s="2" customFormat="1" x14ac:dyDescent="0.3">
      <c r="A112" s="2">
        <v>50</v>
      </c>
      <c r="B112" s="2">
        <v>4</v>
      </c>
      <c r="C112" s="3">
        <v>100</v>
      </c>
      <c r="D112" s="2">
        <v>1.1499999999999999</v>
      </c>
      <c r="E112" s="2">
        <v>3</v>
      </c>
      <c r="F112" s="2">
        <v>3</v>
      </c>
      <c r="G112" s="2">
        <v>0.155</v>
      </c>
      <c r="H112" s="2">
        <v>0</v>
      </c>
      <c r="I112" s="2">
        <v>0</v>
      </c>
      <c r="J112" s="3">
        <v>1</v>
      </c>
      <c r="K112" s="5">
        <f>AVERAGE(G103:G112)</f>
        <v>0.14410000000000003</v>
      </c>
      <c r="L112" s="2">
        <f t="shared" si="1"/>
        <v>0</v>
      </c>
    </row>
    <row r="113" spans="1:12" x14ac:dyDescent="0.3">
      <c r="A113">
        <v>50</v>
      </c>
      <c r="B113">
        <v>5</v>
      </c>
      <c r="C113" s="1">
        <v>10</v>
      </c>
      <c r="D113">
        <v>1.1499999999999999</v>
      </c>
      <c r="E113">
        <v>2</v>
      </c>
      <c r="F113">
        <v>2</v>
      </c>
      <c r="G113">
        <v>0.22</v>
      </c>
      <c r="H113">
        <v>0</v>
      </c>
      <c r="I113">
        <v>0</v>
      </c>
      <c r="J113" s="1">
        <v>1</v>
      </c>
      <c r="L113">
        <f t="shared" si="1"/>
        <v>0</v>
      </c>
    </row>
    <row r="114" spans="1:12" x14ac:dyDescent="0.3">
      <c r="A114">
        <v>50</v>
      </c>
      <c r="B114">
        <v>5</v>
      </c>
      <c r="C114" s="1">
        <v>20</v>
      </c>
      <c r="D114">
        <v>1.1499999999999999</v>
      </c>
      <c r="E114">
        <v>2</v>
      </c>
      <c r="F114">
        <v>2</v>
      </c>
      <c r="G114">
        <v>0.215</v>
      </c>
      <c r="H114">
        <v>0</v>
      </c>
      <c r="I114">
        <v>0</v>
      </c>
      <c r="J114" s="1">
        <v>1</v>
      </c>
      <c r="L114">
        <f t="shared" si="1"/>
        <v>0</v>
      </c>
    </row>
    <row r="115" spans="1:12" x14ac:dyDescent="0.3">
      <c r="A115">
        <v>50</v>
      </c>
      <c r="B115">
        <v>5</v>
      </c>
      <c r="C115" s="1">
        <v>30</v>
      </c>
      <c r="D115">
        <v>1.1499999999999999</v>
      </c>
      <c r="E115">
        <v>2</v>
      </c>
      <c r="F115">
        <v>2</v>
      </c>
      <c r="G115">
        <v>0.19900000000000001</v>
      </c>
      <c r="H115">
        <v>0</v>
      </c>
      <c r="I115">
        <v>0</v>
      </c>
      <c r="J115" s="1">
        <v>1</v>
      </c>
      <c r="L115">
        <f t="shared" si="1"/>
        <v>0</v>
      </c>
    </row>
    <row r="116" spans="1:12" x14ac:dyDescent="0.3">
      <c r="A116">
        <v>50</v>
      </c>
      <c r="B116">
        <v>5</v>
      </c>
      <c r="C116" s="1">
        <v>40</v>
      </c>
      <c r="D116">
        <v>1.1499999999999999</v>
      </c>
      <c r="E116">
        <v>2</v>
      </c>
      <c r="F116">
        <v>2</v>
      </c>
      <c r="G116">
        <v>0.218</v>
      </c>
      <c r="H116">
        <v>0</v>
      </c>
      <c r="I116">
        <v>0</v>
      </c>
      <c r="J116" s="1">
        <v>1</v>
      </c>
      <c r="L116">
        <f t="shared" si="1"/>
        <v>0</v>
      </c>
    </row>
    <row r="117" spans="1:12" x14ac:dyDescent="0.3">
      <c r="A117">
        <v>50</v>
      </c>
      <c r="B117">
        <v>5</v>
      </c>
      <c r="C117" s="1">
        <v>50</v>
      </c>
      <c r="D117">
        <v>1.1499999999999999</v>
      </c>
      <c r="E117">
        <v>2</v>
      </c>
      <c r="F117">
        <v>2</v>
      </c>
      <c r="G117">
        <v>0.23100000000000001</v>
      </c>
      <c r="H117">
        <v>0</v>
      </c>
      <c r="I117">
        <v>0</v>
      </c>
      <c r="J117" s="1">
        <v>1</v>
      </c>
      <c r="L117">
        <f t="shared" si="1"/>
        <v>0</v>
      </c>
    </row>
    <row r="118" spans="1:12" x14ac:dyDescent="0.3">
      <c r="A118">
        <v>50</v>
      </c>
      <c r="B118">
        <v>5</v>
      </c>
      <c r="C118" s="1">
        <v>60</v>
      </c>
      <c r="D118">
        <v>1.1499999999999999</v>
      </c>
      <c r="E118">
        <v>2</v>
      </c>
      <c r="F118">
        <v>2</v>
      </c>
      <c r="G118">
        <v>0.23400000000000001</v>
      </c>
      <c r="H118">
        <v>0</v>
      </c>
      <c r="I118">
        <v>0</v>
      </c>
      <c r="J118" s="1">
        <v>1</v>
      </c>
      <c r="L118">
        <f t="shared" si="1"/>
        <v>0</v>
      </c>
    </row>
    <row r="119" spans="1:12" x14ac:dyDescent="0.3">
      <c r="A119">
        <v>50</v>
      </c>
      <c r="B119">
        <v>5</v>
      </c>
      <c r="C119" s="1">
        <v>70</v>
      </c>
      <c r="D119">
        <v>1.1499999999999999</v>
      </c>
      <c r="E119">
        <v>2</v>
      </c>
      <c r="F119">
        <v>2</v>
      </c>
      <c r="G119">
        <v>0.20100000000000001</v>
      </c>
      <c r="H119">
        <v>0</v>
      </c>
      <c r="I119">
        <v>0</v>
      </c>
      <c r="J119" s="1">
        <v>1</v>
      </c>
      <c r="L119">
        <f t="shared" si="1"/>
        <v>0</v>
      </c>
    </row>
    <row r="120" spans="1:12" x14ac:dyDescent="0.3">
      <c r="A120">
        <v>50</v>
      </c>
      <c r="B120">
        <v>5</v>
      </c>
      <c r="C120" s="1">
        <v>80</v>
      </c>
      <c r="D120">
        <v>1.1499999999999999</v>
      </c>
      <c r="E120">
        <v>2</v>
      </c>
      <c r="F120">
        <v>2</v>
      </c>
      <c r="G120">
        <v>0.218</v>
      </c>
      <c r="H120">
        <v>0</v>
      </c>
      <c r="I120">
        <v>0</v>
      </c>
      <c r="J120" s="1">
        <v>1</v>
      </c>
      <c r="L120">
        <f t="shared" si="1"/>
        <v>0</v>
      </c>
    </row>
    <row r="121" spans="1:12" x14ac:dyDescent="0.3">
      <c r="A121">
        <v>50</v>
      </c>
      <c r="B121">
        <v>5</v>
      </c>
      <c r="C121" s="1">
        <v>90</v>
      </c>
      <c r="D121">
        <v>1.1499999999999999</v>
      </c>
      <c r="E121">
        <v>2</v>
      </c>
      <c r="F121">
        <v>2</v>
      </c>
      <c r="G121">
        <v>0.214</v>
      </c>
      <c r="H121">
        <v>0</v>
      </c>
      <c r="I121">
        <v>0</v>
      </c>
      <c r="J121" s="1">
        <v>1</v>
      </c>
      <c r="L121">
        <f t="shared" si="1"/>
        <v>0</v>
      </c>
    </row>
    <row r="122" spans="1:12" s="2" customFormat="1" x14ac:dyDescent="0.3">
      <c r="A122" s="2">
        <v>50</v>
      </c>
      <c r="B122" s="2">
        <v>5</v>
      </c>
      <c r="C122" s="3">
        <v>100</v>
      </c>
      <c r="D122" s="2">
        <v>1.1499999999999999</v>
      </c>
      <c r="E122" s="2">
        <v>2</v>
      </c>
      <c r="F122" s="2">
        <v>2</v>
      </c>
      <c r="G122" s="2">
        <v>0.23300000000000001</v>
      </c>
      <c r="H122" s="2">
        <v>0</v>
      </c>
      <c r="I122" s="2">
        <v>0</v>
      </c>
      <c r="J122" s="3">
        <v>1</v>
      </c>
      <c r="K122" s="5">
        <f>AVERAGE(G113:G122)</f>
        <v>0.21829999999999999</v>
      </c>
      <c r="L122" s="2">
        <f t="shared" si="1"/>
        <v>0</v>
      </c>
    </row>
    <row r="123" spans="1:12" x14ac:dyDescent="0.3">
      <c r="A123">
        <v>60</v>
      </c>
      <c r="B123">
        <v>2</v>
      </c>
      <c r="C123" s="1">
        <v>10</v>
      </c>
      <c r="D123">
        <v>1.1499999999999999</v>
      </c>
      <c r="E123">
        <v>6</v>
      </c>
      <c r="F123">
        <v>6</v>
      </c>
      <c r="G123">
        <v>0.157</v>
      </c>
      <c r="H123">
        <v>0</v>
      </c>
      <c r="I123">
        <v>0</v>
      </c>
      <c r="J123" s="1">
        <v>1</v>
      </c>
      <c r="L123">
        <f t="shared" si="1"/>
        <v>0</v>
      </c>
    </row>
    <row r="124" spans="1:12" x14ac:dyDescent="0.3">
      <c r="A124">
        <v>60</v>
      </c>
      <c r="B124">
        <v>2</v>
      </c>
      <c r="C124" s="1">
        <v>20</v>
      </c>
      <c r="D124">
        <v>1.1499999999999999</v>
      </c>
      <c r="E124">
        <v>6</v>
      </c>
      <c r="F124">
        <v>6</v>
      </c>
      <c r="G124">
        <v>0.16400000000000001</v>
      </c>
      <c r="H124">
        <v>0</v>
      </c>
      <c r="I124">
        <v>0</v>
      </c>
      <c r="J124" s="1">
        <v>1</v>
      </c>
      <c r="L124">
        <f t="shared" si="1"/>
        <v>0</v>
      </c>
    </row>
    <row r="125" spans="1:12" x14ac:dyDescent="0.3">
      <c r="A125">
        <v>60</v>
      </c>
      <c r="B125">
        <v>2</v>
      </c>
      <c r="C125" s="1">
        <v>30</v>
      </c>
      <c r="D125">
        <v>1.1499999999999999</v>
      </c>
      <c r="E125">
        <v>6</v>
      </c>
      <c r="F125">
        <v>6</v>
      </c>
      <c r="G125">
        <v>0.128</v>
      </c>
      <c r="H125">
        <v>0</v>
      </c>
      <c r="I125">
        <v>0</v>
      </c>
      <c r="J125" s="1">
        <v>1</v>
      </c>
      <c r="L125">
        <f t="shared" si="1"/>
        <v>0</v>
      </c>
    </row>
    <row r="126" spans="1:12" x14ac:dyDescent="0.3">
      <c r="A126">
        <v>60</v>
      </c>
      <c r="B126">
        <v>2</v>
      </c>
      <c r="C126" s="1">
        <v>40</v>
      </c>
      <c r="D126">
        <v>1.1499999999999999</v>
      </c>
      <c r="E126">
        <v>6</v>
      </c>
      <c r="F126">
        <v>6</v>
      </c>
      <c r="G126">
        <v>0.16200000000000001</v>
      </c>
      <c r="H126">
        <v>0</v>
      </c>
      <c r="I126">
        <v>0</v>
      </c>
      <c r="J126" s="1">
        <v>1</v>
      </c>
      <c r="L126">
        <f t="shared" si="1"/>
        <v>0</v>
      </c>
    </row>
    <row r="127" spans="1:12" x14ac:dyDescent="0.3">
      <c r="A127">
        <v>60</v>
      </c>
      <c r="B127">
        <v>2</v>
      </c>
      <c r="C127" s="1">
        <v>50</v>
      </c>
      <c r="D127">
        <v>1.1499999999999999</v>
      </c>
      <c r="E127">
        <v>6</v>
      </c>
      <c r="F127">
        <v>6</v>
      </c>
      <c r="G127">
        <v>0.2</v>
      </c>
      <c r="H127">
        <v>0</v>
      </c>
      <c r="I127">
        <v>0</v>
      </c>
      <c r="J127" s="1">
        <v>1</v>
      </c>
      <c r="L127">
        <f t="shared" si="1"/>
        <v>0</v>
      </c>
    </row>
    <row r="128" spans="1:12" x14ac:dyDescent="0.3">
      <c r="A128">
        <v>60</v>
      </c>
      <c r="B128">
        <v>2</v>
      </c>
      <c r="C128" s="1">
        <v>60</v>
      </c>
      <c r="D128">
        <v>1.1499999999999999</v>
      </c>
      <c r="E128">
        <v>6</v>
      </c>
      <c r="F128">
        <v>6</v>
      </c>
      <c r="G128">
        <v>0.153</v>
      </c>
      <c r="H128">
        <v>0</v>
      </c>
      <c r="I128">
        <v>0</v>
      </c>
      <c r="J128" s="1">
        <v>1</v>
      </c>
      <c r="L128">
        <f t="shared" si="1"/>
        <v>0</v>
      </c>
    </row>
    <row r="129" spans="1:12" x14ac:dyDescent="0.3">
      <c r="A129">
        <v>60</v>
      </c>
      <c r="B129">
        <v>2</v>
      </c>
      <c r="C129" s="1">
        <v>70</v>
      </c>
      <c r="D129">
        <v>1.1499999999999999</v>
      </c>
      <c r="E129">
        <v>6</v>
      </c>
      <c r="F129">
        <v>6</v>
      </c>
      <c r="G129">
        <v>9.1999999999999998E-2</v>
      </c>
      <c r="H129">
        <v>0</v>
      </c>
      <c r="I129">
        <v>0</v>
      </c>
      <c r="J129" s="1">
        <v>1</v>
      </c>
      <c r="L129">
        <f t="shared" si="1"/>
        <v>0</v>
      </c>
    </row>
    <row r="130" spans="1:12" x14ac:dyDescent="0.3">
      <c r="A130">
        <v>60</v>
      </c>
      <c r="B130">
        <v>2</v>
      </c>
      <c r="C130" s="1">
        <v>80</v>
      </c>
      <c r="D130">
        <v>1.1499999999999999</v>
      </c>
      <c r="E130">
        <v>6</v>
      </c>
      <c r="F130">
        <v>6</v>
      </c>
      <c r="G130">
        <v>0.17299999999999999</v>
      </c>
      <c r="H130">
        <v>0</v>
      </c>
      <c r="I130">
        <v>0</v>
      </c>
      <c r="J130" s="1">
        <v>1</v>
      </c>
      <c r="L130">
        <f t="shared" si="1"/>
        <v>0</v>
      </c>
    </row>
    <row r="131" spans="1:12" x14ac:dyDescent="0.3">
      <c r="A131">
        <v>60</v>
      </c>
      <c r="B131">
        <v>2</v>
      </c>
      <c r="C131" s="1">
        <v>90</v>
      </c>
      <c r="D131">
        <v>1.1499999999999999</v>
      </c>
      <c r="E131">
        <v>6</v>
      </c>
      <c r="F131">
        <v>6</v>
      </c>
      <c r="G131">
        <v>0.13400000000000001</v>
      </c>
      <c r="H131">
        <v>0</v>
      </c>
      <c r="I131">
        <v>0</v>
      </c>
      <c r="J131" s="1">
        <v>1</v>
      </c>
      <c r="L131">
        <f t="shared" ref="L131:L194" si="2">IF(ISBLANK(E131),IF(ISBLANK(F131),"",100), IF(E131+F131=0, 0, IF(G131=3600, IF(E131=F131,1,(E131-F131)/E131*100), 0)))</f>
        <v>0</v>
      </c>
    </row>
    <row r="132" spans="1:12" s="2" customFormat="1" x14ac:dyDescent="0.3">
      <c r="A132" s="2">
        <v>60</v>
      </c>
      <c r="B132" s="2">
        <v>2</v>
      </c>
      <c r="C132" s="3">
        <v>100</v>
      </c>
      <c r="D132" s="2">
        <v>1.1499999999999999</v>
      </c>
      <c r="E132" s="2">
        <v>6</v>
      </c>
      <c r="F132" s="2">
        <v>6</v>
      </c>
      <c r="G132" s="2">
        <v>0.159</v>
      </c>
      <c r="H132" s="2">
        <v>0</v>
      </c>
      <c r="I132" s="2">
        <v>0</v>
      </c>
      <c r="J132" s="3">
        <v>1</v>
      </c>
      <c r="K132" s="5">
        <f>AVERAGE(G123:G132)</f>
        <v>0.1522</v>
      </c>
      <c r="L132" s="2">
        <f t="shared" si="2"/>
        <v>0</v>
      </c>
    </row>
    <row r="133" spans="1:12" x14ac:dyDescent="0.3">
      <c r="A133">
        <v>60</v>
      </c>
      <c r="B133">
        <v>3</v>
      </c>
      <c r="C133" s="1">
        <v>10</v>
      </c>
      <c r="D133">
        <v>1.1499999999999999</v>
      </c>
      <c r="E133">
        <v>5</v>
      </c>
      <c r="F133">
        <v>5</v>
      </c>
      <c r="G133">
        <v>0.24099999999999999</v>
      </c>
      <c r="H133">
        <v>0</v>
      </c>
      <c r="I133">
        <v>0</v>
      </c>
      <c r="J133" s="1">
        <v>1</v>
      </c>
      <c r="L133">
        <f t="shared" si="2"/>
        <v>0</v>
      </c>
    </row>
    <row r="134" spans="1:12" x14ac:dyDescent="0.3">
      <c r="A134">
        <v>60</v>
      </c>
      <c r="B134">
        <v>3</v>
      </c>
      <c r="C134" s="1">
        <v>20</v>
      </c>
      <c r="D134">
        <v>1.1499999999999999</v>
      </c>
      <c r="E134">
        <v>5</v>
      </c>
      <c r="F134">
        <v>5</v>
      </c>
      <c r="G134">
        <v>0.185</v>
      </c>
      <c r="H134">
        <v>0</v>
      </c>
      <c r="I134">
        <v>0</v>
      </c>
      <c r="J134" s="1">
        <v>1</v>
      </c>
      <c r="L134">
        <f t="shared" si="2"/>
        <v>0</v>
      </c>
    </row>
    <row r="135" spans="1:12" x14ac:dyDescent="0.3">
      <c r="A135">
        <v>60</v>
      </c>
      <c r="B135">
        <v>3</v>
      </c>
      <c r="C135" s="1">
        <v>30</v>
      </c>
      <c r="D135">
        <v>1.1499999999999999</v>
      </c>
      <c r="E135">
        <v>5</v>
      </c>
      <c r="F135">
        <v>5</v>
      </c>
      <c r="G135">
        <v>0.124</v>
      </c>
      <c r="H135">
        <v>0</v>
      </c>
      <c r="I135">
        <v>0</v>
      </c>
      <c r="J135" s="1">
        <v>1</v>
      </c>
      <c r="L135">
        <f t="shared" si="2"/>
        <v>0</v>
      </c>
    </row>
    <row r="136" spans="1:12" x14ac:dyDescent="0.3">
      <c r="A136">
        <v>60</v>
      </c>
      <c r="B136">
        <v>3</v>
      </c>
      <c r="C136" s="1">
        <v>40</v>
      </c>
      <c r="D136">
        <v>1.1499999999999999</v>
      </c>
      <c r="E136">
        <v>5</v>
      </c>
      <c r="F136">
        <v>5</v>
      </c>
      <c r="G136">
        <v>0.186</v>
      </c>
      <c r="H136">
        <v>0</v>
      </c>
      <c r="I136">
        <v>0</v>
      </c>
      <c r="J136" s="1">
        <v>1</v>
      </c>
      <c r="L136">
        <f t="shared" si="2"/>
        <v>0</v>
      </c>
    </row>
    <row r="137" spans="1:12" x14ac:dyDescent="0.3">
      <c r="A137">
        <v>60</v>
      </c>
      <c r="B137">
        <v>3</v>
      </c>
      <c r="C137" s="1">
        <v>50</v>
      </c>
      <c r="D137">
        <v>1.1499999999999999</v>
      </c>
      <c r="E137">
        <v>5</v>
      </c>
      <c r="F137">
        <v>5</v>
      </c>
      <c r="G137">
        <v>0.219</v>
      </c>
      <c r="H137">
        <v>0</v>
      </c>
      <c r="I137">
        <v>0</v>
      </c>
      <c r="J137" s="1">
        <v>1</v>
      </c>
      <c r="L137">
        <f t="shared" si="2"/>
        <v>0</v>
      </c>
    </row>
    <row r="138" spans="1:12" x14ac:dyDescent="0.3">
      <c r="A138">
        <v>60</v>
      </c>
      <c r="B138">
        <v>3</v>
      </c>
      <c r="C138" s="1">
        <v>60</v>
      </c>
      <c r="D138">
        <v>1.1499999999999999</v>
      </c>
      <c r="E138">
        <v>5</v>
      </c>
      <c r="F138">
        <v>5</v>
      </c>
      <c r="G138">
        <v>0.182</v>
      </c>
      <c r="H138">
        <v>0</v>
      </c>
      <c r="I138">
        <v>0</v>
      </c>
      <c r="J138" s="1">
        <v>1</v>
      </c>
      <c r="L138">
        <f t="shared" si="2"/>
        <v>0</v>
      </c>
    </row>
    <row r="139" spans="1:12" x14ac:dyDescent="0.3">
      <c r="A139">
        <v>60</v>
      </c>
      <c r="B139">
        <v>3</v>
      </c>
      <c r="C139" s="1">
        <v>70</v>
      </c>
      <c r="D139">
        <v>1.1499999999999999</v>
      </c>
      <c r="E139">
        <v>5</v>
      </c>
      <c r="F139">
        <v>5</v>
      </c>
      <c r="G139">
        <v>7.8E-2</v>
      </c>
      <c r="H139">
        <v>0</v>
      </c>
      <c r="I139">
        <v>0</v>
      </c>
      <c r="J139" s="1">
        <v>1</v>
      </c>
      <c r="L139">
        <f t="shared" si="2"/>
        <v>0</v>
      </c>
    </row>
    <row r="140" spans="1:12" x14ac:dyDescent="0.3">
      <c r="A140">
        <v>60</v>
      </c>
      <c r="B140">
        <v>3</v>
      </c>
      <c r="C140" s="1">
        <v>80</v>
      </c>
      <c r="D140">
        <v>1.1499999999999999</v>
      </c>
      <c r="E140">
        <v>5</v>
      </c>
      <c r="F140">
        <v>5</v>
      </c>
      <c r="G140">
        <v>0.17100000000000001</v>
      </c>
      <c r="H140">
        <v>0</v>
      </c>
      <c r="I140">
        <v>0</v>
      </c>
      <c r="J140" s="1">
        <v>1</v>
      </c>
      <c r="L140">
        <f t="shared" si="2"/>
        <v>0</v>
      </c>
    </row>
    <row r="141" spans="1:12" x14ac:dyDescent="0.3">
      <c r="A141">
        <v>60</v>
      </c>
      <c r="B141">
        <v>3</v>
      </c>
      <c r="C141" s="1">
        <v>90</v>
      </c>
      <c r="D141">
        <v>1.1499999999999999</v>
      </c>
      <c r="E141">
        <v>5</v>
      </c>
      <c r="F141">
        <v>5</v>
      </c>
      <c r="G141">
        <v>0.19700000000000001</v>
      </c>
      <c r="H141">
        <v>0</v>
      </c>
      <c r="I141">
        <v>0</v>
      </c>
      <c r="J141" s="1">
        <v>1</v>
      </c>
      <c r="L141">
        <f t="shared" si="2"/>
        <v>0</v>
      </c>
    </row>
    <row r="142" spans="1:12" s="2" customFormat="1" x14ac:dyDescent="0.3">
      <c r="A142" s="2">
        <v>60</v>
      </c>
      <c r="B142" s="2">
        <v>3</v>
      </c>
      <c r="C142" s="3">
        <v>100</v>
      </c>
      <c r="D142" s="2">
        <v>1.1499999999999999</v>
      </c>
      <c r="E142" s="2">
        <v>5</v>
      </c>
      <c r="F142" s="2">
        <v>5</v>
      </c>
      <c r="G142" s="2">
        <v>0.217</v>
      </c>
      <c r="H142" s="2">
        <v>0</v>
      </c>
      <c r="I142" s="2">
        <v>0</v>
      </c>
      <c r="J142" s="3">
        <v>1</v>
      </c>
      <c r="K142" s="5">
        <f>AVERAGE(G133:G142)</f>
        <v>0.18000000000000002</v>
      </c>
      <c r="L142" s="2">
        <f t="shared" si="2"/>
        <v>0</v>
      </c>
    </row>
    <row r="143" spans="1:12" x14ac:dyDescent="0.3">
      <c r="A143">
        <v>60</v>
      </c>
      <c r="B143">
        <v>4</v>
      </c>
      <c r="C143" s="1">
        <v>10</v>
      </c>
      <c r="D143">
        <v>1.1499999999999999</v>
      </c>
      <c r="E143">
        <v>4</v>
      </c>
      <c r="F143">
        <v>4</v>
      </c>
      <c r="G143">
        <v>0.49299999999999999</v>
      </c>
      <c r="H143">
        <v>0</v>
      </c>
      <c r="I143">
        <v>0</v>
      </c>
      <c r="J143" s="1">
        <v>1</v>
      </c>
      <c r="L143">
        <f t="shared" si="2"/>
        <v>0</v>
      </c>
    </row>
    <row r="144" spans="1:12" x14ac:dyDescent="0.3">
      <c r="A144">
        <v>60</v>
      </c>
      <c r="B144">
        <v>4</v>
      </c>
      <c r="C144" s="1">
        <v>20</v>
      </c>
      <c r="D144">
        <v>1.1499999999999999</v>
      </c>
      <c r="E144">
        <v>4</v>
      </c>
      <c r="F144">
        <v>4</v>
      </c>
      <c r="G144">
        <v>0.443</v>
      </c>
      <c r="H144">
        <v>0</v>
      </c>
      <c r="I144">
        <v>0</v>
      </c>
      <c r="J144" s="1">
        <v>1</v>
      </c>
      <c r="L144">
        <f t="shared" si="2"/>
        <v>0</v>
      </c>
    </row>
    <row r="145" spans="1:12" x14ac:dyDescent="0.3">
      <c r="A145">
        <v>60</v>
      </c>
      <c r="B145">
        <v>4</v>
      </c>
      <c r="C145" s="1">
        <v>30</v>
      </c>
      <c r="D145">
        <v>1.1499999999999999</v>
      </c>
      <c r="E145">
        <v>4</v>
      </c>
      <c r="F145">
        <v>4</v>
      </c>
      <c r="G145">
        <v>0.40500000000000003</v>
      </c>
      <c r="H145">
        <v>0</v>
      </c>
      <c r="I145">
        <v>0</v>
      </c>
      <c r="J145" s="1">
        <v>1</v>
      </c>
      <c r="L145">
        <f t="shared" si="2"/>
        <v>0</v>
      </c>
    </row>
    <row r="146" spans="1:12" x14ac:dyDescent="0.3">
      <c r="A146">
        <v>60</v>
      </c>
      <c r="B146">
        <v>4</v>
      </c>
      <c r="C146" s="1">
        <v>40</v>
      </c>
      <c r="D146">
        <v>1.1499999999999999</v>
      </c>
      <c r="E146">
        <v>4</v>
      </c>
      <c r="F146">
        <v>4</v>
      </c>
      <c r="G146">
        <v>0.42099999999999999</v>
      </c>
      <c r="H146">
        <v>0</v>
      </c>
      <c r="I146">
        <v>0</v>
      </c>
      <c r="J146" s="1">
        <v>1</v>
      </c>
      <c r="L146">
        <f t="shared" si="2"/>
        <v>0</v>
      </c>
    </row>
    <row r="147" spans="1:12" x14ac:dyDescent="0.3">
      <c r="A147">
        <v>60</v>
      </c>
      <c r="B147">
        <v>4</v>
      </c>
      <c r="C147" s="1">
        <v>50</v>
      </c>
      <c r="D147">
        <v>1.1499999999999999</v>
      </c>
      <c r="E147">
        <v>4</v>
      </c>
      <c r="F147">
        <v>4</v>
      </c>
      <c r="G147">
        <v>0.48299999999999998</v>
      </c>
      <c r="H147">
        <v>0</v>
      </c>
      <c r="I147">
        <v>0</v>
      </c>
      <c r="J147" s="1">
        <v>1</v>
      </c>
      <c r="L147">
        <f t="shared" si="2"/>
        <v>0</v>
      </c>
    </row>
    <row r="148" spans="1:12" x14ac:dyDescent="0.3">
      <c r="A148">
        <v>60</v>
      </c>
      <c r="B148">
        <v>4</v>
      </c>
      <c r="C148" s="1">
        <v>60</v>
      </c>
      <c r="D148">
        <v>1.1499999999999999</v>
      </c>
      <c r="E148">
        <v>4</v>
      </c>
      <c r="F148">
        <v>4</v>
      </c>
      <c r="G148">
        <v>0.434</v>
      </c>
      <c r="H148">
        <v>0</v>
      </c>
      <c r="I148">
        <v>0</v>
      </c>
      <c r="J148" s="1">
        <v>1</v>
      </c>
      <c r="L148">
        <f t="shared" si="2"/>
        <v>0</v>
      </c>
    </row>
    <row r="149" spans="1:12" x14ac:dyDescent="0.3">
      <c r="A149">
        <v>60</v>
      </c>
      <c r="B149">
        <v>4</v>
      </c>
      <c r="C149" s="1">
        <v>70</v>
      </c>
      <c r="D149">
        <v>1.1499999999999999</v>
      </c>
      <c r="E149">
        <v>4</v>
      </c>
      <c r="F149">
        <v>4</v>
      </c>
      <c r="G149">
        <v>0.371</v>
      </c>
      <c r="H149">
        <v>0</v>
      </c>
      <c r="I149">
        <v>0</v>
      </c>
      <c r="J149" s="1">
        <v>1</v>
      </c>
      <c r="L149">
        <f t="shared" si="2"/>
        <v>0</v>
      </c>
    </row>
    <row r="150" spans="1:12" x14ac:dyDescent="0.3">
      <c r="A150">
        <v>60</v>
      </c>
      <c r="B150">
        <v>4</v>
      </c>
      <c r="C150" s="1">
        <v>80</v>
      </c>
      <c r="D150">
        <v>1.1499999999999999</v>
      </c>
      <c r="E150">
        <v>4</v>
      </c>
      <c r="F150">
        <v>4</v>
      </c>
      <c r="G150">
        <v>0.40600000000000003</v>
      </c>
      <c r="H150">
        <v>0</v>
      </c>
      <c r="I150">
        <v>0</v>
      </c>
      <c r="J150" s="1">
        <v>1</v>
      </c>
      <c r="L150">
        <f t="shared" si="2"/>
        <v>0</v>
      </c>
    </row>
    <row r="151" spans="1:12" x14ac:dyDescent="0.3">
      <c r="A151">
        <v>60</v>
      </c>
      <c r="B151">
        <v>4</v>
      </c>
      <c r="C151" s="1">
        <v>90</v>
      </c>
      <c r="D151">
        <v>1.1499999999999999</v>
      </c>
      <c r="E151">
        <v>4</v>
      </c>
      <c r="F151">
        <v>4</v>
      </c>
      <c r="G151">
        <v>0.46400000000000002</v>
      </c>
      <c r="H151">
        <v>0</v>
      </c>
      <c r="I151">
        <v>0</v>
      </c>
      <c r="J151" s="1">
        <v>1</v>
      </c>
      <c r="L151">
        <f t="shared" si="2"/>
        <v>0</v>
      </c>
    </row>
    <row r="152" spans="1:12" s="2" customFormat="1" x14ac:dyDescent="0.3">
      <c r="A152" s="2">
        <v>60</v>
      </c>
      <c r="B152" s="2">
        <v>4</v>
      </c>
      <c r="C152" s="3">
        <v>100</v>
      </c>
      <c r="D152" s="2">
        <v>1.1499999999999999</v>
      </c>
      <c r="E152" s="2">
        <v>4</v>
      </c>
      <c r="F152" s="2">
        <v>4</v>
      </c>
      <c r="G152" s="2">
        <v>0.45500000000000002</v>
      </c>
      <c r="H152" s="2">
        <v>0</v>
      </c>
      <c r="I152" s="2">
        <v>0</v>
      </c>
      <c r="J152" s="3">
        <v>1</v>
      </c>
      <c r="K152" s="5">
        <f>AVERAGE(G143:G152)</f>
        <v>0.4375</v>
      </c>
      <c r="L152" s="2">
        <f t="shared" si="2"/>
        <v>0</v>
      </c>
    </row>
    <row r="153" spans="1:12" x14ac:dyDescent="0.3">
      <c r="A153">
        <v>60</v>
      </c>
      <c r="B153">
        <v>5</v>
      </c>
      <c r="C153" s="1">
        <v>10</v>
      </c>
      <c r="D153">
        <v>1.1499999999999999</v>
      </c>
      <c r="E153">
        <v>3</v>
      </c>
      <c r="F153">
        <v>3</v>
      </c>
      <c r="G153">
        <v>0.34100000000000003</v>
      </c>
      <c r="H153">
        <v>0</v>
      </c>
      <c r="I153">
        <v>0</v>
      </c>
      <c r="J153" s="1">
        <v>1</v>
      </c>
      <c r="L153">
        <f t="shared" si="2"/>
        <v>0</v>
      </c>
    </row>
    <row r="154" spans="1:12" x14ac:dyDescent="0.3">
      <c r="A154">
        <v>60</v>
      </c>
      <c r="B154">
        <v>5</v>
      </c>
      <c r="C154" s="1">
        <v>20</v>
      </c>
      <c r="D154">
        <v>1.1499999999999999</v>
      </c>
      <c r="E154">
        <v>3</v>
      </c>
      <c r="F154">
        <v>3</v>
      </c>
      <c r="G154">
        <v>0.34399999999999997</v>
      </c>
      <c r="H154">
        <v>0</v>
      </c>
      <c r="I154">
        <v>0</v>
      </c>
      <c r="J154" s="1">
        <v>1</v>
      </c>
      <c r="L154">
        <f t="shared" si="2"/>
        <v>0</v>
      </c>
    </row>
    <row r="155" spans="1:12" x14ac:dyDescent="0.3">
      <c r="A155">
        <v>60</v>
      </c>
      <c r="B155">
        <v>5</v>
      </c>
      <c r="C155" s="1">
        <v>30</v>
      </c>
      <c r="D155">
        <v>1.1499999999999999</v>
      </c>
      <c r="E155">
        <v>3</v>
      </c>
      <c r="F155">
        <v>3</v>
      </c>
      <c r="G155">
        <v>0.29399999999999998</v>
      </c>
      <c r="H155">
        <v>0</v>
      </c>
      <c r="I155">
        <v>0</v>
      </c>
      <c r="J155" s="1">
        <v>1</v>
      </c>
      <c r="L155">
        <f t="shared" si="2"/>
        <v>0</v>
      </c>
    </row>
    <row r="156" spans="1:12" x14ac:dyDescent="0.3">
      <c r="A156">
        <v>60</v>
      </c>
      <c r="B156">
        <v>5</v>
      </c>
      <c r="C156" s="1">
        <v>40</v>
      </c>
      <c r="D156">
        <v>1.1499999999999999</v>
      </c>
      <c r="E156">
        <v>3</v>
      </c>
      <c r="F156">
        <v>3</v>
      </c>
      <c r="G156">
        <v>0.35599999999999998</v>
      </c>
      <c r="H156">
        <v>0</v>
      </c>
      <c r="I156">
        <v>0</v>
      </c>
      <c r="J156" s="1">
        <v>1</v>
      </c>
      <c r="L156">
        <f t="shared" si="2"/>
        <v>0</v>
      </c>
    </row>
    <row r="157" spans="1:12" x14ac:dyDescent="0.3">
      <c r="A157">
        <v>60</v>
      </c>
      <c r="B157">
        <v>5</v>
      </c>
      <c r="C157" s="1">
        <v>50</v>
      </c>
      <c r="D157">
        <v>1.1499999999999999</v>
      </c>
      <c r="E157">
        <v>3</v>
      </c>
      <c r="F157">
        <v>3</v>
      </c>
      <c r="G157">
        <v>0.32800000000000001</v>
      </c>
      <c r="H157">
        <v>0</v>
      </c>
      <c r="I157">
        <v>0</v>
      </c>
      <c r="J157" s="1">
        <v>1</v>
      </c>
      <c r="L157">
        <f t="shared" si="2"/>
        <v>0</v>
      </c>
    </row>
    <row r="158" spans="1:12" x14ac:dyDescent="0.3">
      <c r="A158">
        <v>60</v>
      </c>
      <c r="B158">
        <v>5</v>
      </c>
      <c r="C158" s="1">
        <v>60</v>
      </c>
      <c r="D158">
        <v>1.1499999999999999</v>
      </c>
      <c r="E158">
        <v>3</v>
      </c>
      <c r="F158">
        <v>3</v>
      </c>
      <c r="G158">
        <v>0.35599999999999998</v>
      </c>
      <c r="H158">
        <v>0</v>
      </c>
      <c r="I158">
        <v>0</v>
      </c>
      <c r="J158" s="1">
        <v>1</v>
      </c>
      <c r="L158">
        <f t="shared" si="2"/>
        <v>0</v>
      </c>
    </row>
    <row r="159" spans="1:12" x14ac:dyDescent="0.3">
      <c r="A159">
        <v>60</v>
      </c>
      <c r="B159">
        <v>5</v>
      </c>
      <c r="C159" s="1">
        <v>70</v>
      </c>
      <c r="D159">
        <v>1.1499999999999999</v>
      </c>
      <c r="E159">
        <v>3</v>
      </c>
      <c r="F159">
        <v>3</v>
      </c>
      <c r="G159">
        <v>0.314</v>
      </c>
      <c r="H159">
        <v>0</v>
      </c>
      <c r="I159">
        <v>0</v>
      </c>
      <c r="J159" s="1">
        <v>1</v>
      </c>
      <c r="L159">
        <f t="shared" si="2"/>
        <v>0</v>
      </c>
    </row>
    <row r="160" spans="1:12" x14ac:dyDescent="0.3">
      <c r="A160">
        <v>60</v>
      </c>
      <c r="B160">
        <v>5</v>
      </c>
      <c r="C160" s="1">
        <v>80</v>
      </c>
      <c r="D160">
        <v>1.1499999999999999</v>
      </c>
      <c r="E160">
        <v>3</v>
      </c>
      <c r="F160">
        <v>3</v>
      </c>
      <c r="G160">
        <v>0.33900000000000002</v>
      </c>
      <c r="H160">
        <v>0</v>
      </c>
      <c r="I160">
        <v>0</v>
      </c>
      <c r="J160" s="1">
        <v>1</v>
      </c>
      <c r="L160">
        <f t="shared" si="2"/>
        <v>0</v>
      </c>
    </row>
    <row r="161" spans="1:12" x14ac:dyDescent="0.3">
      <c r="A161">
        <v>60</v>
      </c>
      <c r="B161">
        <v>5</v>
      </c>
      <c r="C161" s="1">
        <v>90</v>
      </c>
      <c r="D161">
        <v>1.1499999999999999</v>
      </c>
      <c r="E161">
        <v>3</v>
      </c>
      <c r="F161">
        <v>3</v>
      </c>
      <c r="G161">
        <v>0.32800000000000001</v>
      </c>
      <c r="H161">
        <v>0</v>
      </c>
      <c r="I161">
        <v>0</v>
      </c>
      <c r="J161" s="1">
        <v>1</v>
      </c>
      <c r="L161">
        <f t="shared" si="2"/>
        <v>0</v>
      </c>
    </row>
    <row r="162" spans="1:12" s="2" customFormat="1" x14ac:dyDescent="0.3">
      <c r="A162" s="2">
        <v>60</v>
      </c>
      <c r="B162" s="2">
        <v>5</v>
      </c>
      <c r="C162" s="3">
        <v>100</v>
      </c>
      <c r="D162" s="2">
        <v>1.1499999999999999</v>
      </c>
      <c r="E162" s="2">
        <v>3</v>
      </c>
      <c r="F162" s="2">
        <v>3</v>
      </c>
      <c r="G162" s="2">
        <v>0.32800000000000001</v>
      </c>
      <c r="H162" s="2">
        <v>0</v>
      </c>
      <c r="I162" s="2">
        <v>0</v>
      </c>
      <c r="J162" s="3">
        <v>1</v>
      </c>
      <c r="K162" s="5">
        <f>AVERAGE(G153:G162)</f>
        <v>0.33279999999999998</v>
      </c>
      <c r="L162" s="2">
        <f t="shared" si="2"/>
        <v>0</v>
      </c>
    </row>
    <row r="163" spans="1:12" x14ac:dyDescent="0.3">
      <c r="A163">
        <v>70</v>
      </c>
      <c r="B163">
        <v>2</v>
      </c>
      <c r="C163" s="1">
        <v>10</v>
      </c>
      <c r="D163">
        <v>1.1499999999999999</v>
      </c>
      <c r="E163">
        <v>7</v>
      </c>
      <c r="F163">
        <v>7</v>
      </c>
      <c r="G163">
        <v>181.964</v>
      </c>
      <c r="H163">
        <v>0</v>
      </c>
      <c r="I163">
        <v>0</v>
      </c>
      <c r="J163" s="1">
        <v>2</v>
      </c>
      <c r="L163">
        <f t="shared" si="2"/>
        <v>0</v>
      </c>
    </row>
    <row r="164" spans="1:12" x14ac:dyDescent="0.3">
      <c r="A164">
        <v>70</v>
      </c>
      <c r="B164">
        <v>2</v>
      </c>
      <c r="C164" s="1">
        <v>20</v>
      </c>
      <c r="D164">
        <v>1.1499999999999999</v>
      </c>
      <c r="E164">
        <v>7</v>
      </c>
      <c r="F164">
        <v>7</v>
      </c>
      <c r="G164">
        <v>182.34700000000001</v>
      </c>
      <c r="H164">
        <v>0</v>
      </c>
      <c r="I164">
        <v>0</v>
      </c>
      <c r="J164" s="1">
        <v>2</v>
      </c>
      <c r="L164">
        <f t="shared" si="2"/>
        <v>0</v>
      </c>
    </row>
    <row r="165" spans="1:12" x14ac:dyDescent="0.3">
      <c r="A165">
        <v>70</v>
      </c>
      <c r="B165">
        <v>2</v>
      </c>
      <c r="C165" s="1">
        <v>30</v>
      </c>
      <c r="D165">
        <v>1.1499999999999999</v>
      </c>
      <c r="E165">
        <v>7</v>
      </c>
      <c r="F165">
        <v>7</v>
      </c>
      <c r="G165">
        <v>363.62900000000002</v>
      </c>
      <c r="H165">
        <v>0</v>
      </c>
      <c r="I165">
        <v>0</v>
      </c>
      <c r="J165" s="1">
        <v>3</v>
      </c>
      <c r="L165">
        <f t="shared" si="2"/>
        <v>0</v>
      </c>
    </row>
    <row r="166" spans="1:12" x14ac:dyDescent="0.3">
      <c r="A166">
        <v>70</v>
      </c>
      <c r="B166">
        <v>2</v>
      </c>
      <c r="C166" s="1">
        <v>40</v>
      </c>
      <c r="D166">
        <v>1.1499999999999999</v>
      </c>
      <c r="E166">
        <v>7</v>
      </c>
      <c r="F166">
        <v>7</v>
      </c>
      <c r="G166">
        <v>181.739</v>
      </c>
      <c r="H166">
        <v>0</v>
      </c>
      <c r="I166">
        <v>0</v>
      </c>
      <c r="J166" s="1">
        <v>2</v>
      </c>
      <c r="L166">
        <f t="shared" si="2"/>
        <v>0</v>
      </c>
    </row>
    <row r="167" spans="1:12" x14ac:dyDescent="0.3">
      <c r="A167">
        <v>70</v>
      </c>
      <c r="B167">
        <v>2</v>
      </c>
      <c r="C167" s="1">
        <v>50</v>
      </c>
      <c r="D167">
        <v>1.1499999999999999</v>
      </c>
      <c r="E167">
        <v>7</v>
      </c>
      <c r="F167">
        <v>7</v>
      </c>
      <c r="G167">
        <v>182.078</v>
      </c>
      <c r="H167">
        <v>0</v>
      </c>
      <c r="I167">
        <v>0</v>
      </c>
      <c r="J167" s="1">
        <v>2</v>
      </c>
      <c r="L167">
        <f t="shared" si="2"/>
        <v>0</v>
      </c>
    </row>
    <row r="168" spans="1:12" x14ac:dyDescent="0.3">
      <c r="A168">
        <v>70</v>
      </c>
      <c r="B168">
        <v>2</v>
      </c>
      <c r="C168" s="1">
        <v>60</v>
      </c>
      <c r="D168">
        <v>1.1499999999999999</v>
      </c>
      <c r="E168">
        <v>7</v>
      </c>
      <c r="F168">
        <v>7</v>
      </c>
      <c r="G168">
        <v>0.14099999999999999</v>
      </c>
      <c r="H168">
        <v>0</v>
      </c>
      <c r="I168">
        <v>0</v>
      </c>
      <c r="J168" s="1">
        <v>1</v>
      </c>
      <c r="L168">
        <f t="shared" si="2"/>
        <v>0</v>
      </c>
    </row>
    <row r="169" spans="1:12" x14ac:dyDescent="0.3">
      <c r="A169">
        <v>70</v>
      </c>
      <c r="B169">
        <v>2</v>
      </c>
      <c r="C169" s="1">
        <v>70</v>
      </c>
      <c r="D169">
        <v>1.1499999999999999</v>
      </c>
      <c r="E169">
        <v>7</v>
      </c>
      <c r="F169">
        <v>7</v>
      </c>
      <c r="G169">
        <v>2.5999999999999999E-2</v>
      </c>
      <c r="H169">
        <v>0</v>
      </c>
      <c r="I169">
        <v>0</v>
      </c>
      <c r="J169" s="1">
        <v>1</v>
      </c>
      <c r="L169">
        <f t="shared" si="2"/>
        <v>0</v>
      </c>
    </row>
    <row r="170" spans="1:12" x14ac:dyDescent="0.3">
      <c r="A170">
        <v>70</v>
      </c>
      <c r="B170">
        <v>2</v>
      </c>
      <c r="C170" s="1">
        <v>80</v>
      </c>
      <c r="D170">
        <v>1.1499999999999999</v>
      </c>
      <c r="E170">
        <v>7</v>
      </c>
      <c r="F170">
        <v>7</v>
      </c>
      <c r="G170">
        <v>181.952</v>
      </c>
      <c r="H170">
        <v>0</v>
      </c>
      <c r="I170">
        <v>0</v>
      </c>
      <c r="J170" s="1">
        <v>2</v>
      </c>
      <c r="L170">
        <f t="shared" si="2"/>
        <v>0</v>
      </c>
    </row>
    <row r="171" spans="1:12" x14ac:dyDescent="0.3">
      <c r="A171">
        <v>70</v>
      </c>
      <c r="B171">
        <v>2</v>
      </c>
      <c r="C171" s="1">
        <v>90</v>
      </c>
      <c r="D171">
        <v>1.1499999999999999</v>
      </c>
      <c r="E171">
        <v>7</v>
      </c>
      <c r="F171">
        <v>7</v>
      </c>
      <c r="G171">
        <v>181.82400000000001</v>
      </c>
      <c r="H171">
        <v>0</v>
      </c>
      <c r="I171">
        <v>0</v>
      </c>
      <c r="J171" s="1">
        <v>2</v>
      </c>
      <c r="L171">
        <f t="shared" si="2"/>
        <v>0</v>
      </c>
    </row>
    <row r="172" spans="1:12" s="2" customFormat="1" x14ac:dyDescent="0.3">
      <c r="A172" s="2">
        <v>70</v>
      </c>
      <c r="B172" s="2">
        <v>2</v>
      </c>
      <c r="C172" s="3">
        <v>100</v>
      </c>
      <c r="D172" s="2">
        <v>1.1499999999999999</v>
      </c>
      <c r="E172" s="2">
        <v>7</v>
      </c>
      <c r="F172" s="2">
        <v>7</v>
      </c>
      <c r="G172" s="2">
        <v>363.822</v>
      </c>
      <c r="H172" s="2">
        <v>0</v>
      </c>
      <c r="I172" s="2">
        <v>0</v>
      </c>
      <c r="J172" s="3">
        <v>3</v>
      </c>
      <c r="K172" s="5">
        <f>AVERAGE(G163:G172)</f>
        <v>181.95220000000003</v>
      </c>
      <c r="L172" s="2">
        <f t="shared" si="2"/>
        <v>0</v>
      </c>
    </row>
    <row r="173" spans="1:12" x14ac:dyDescent="0.3">
      <c r="A173">
        <v>70</v>
      </c>
      <c r="B173">
        <v>3</v>
      </c>
      <c r="C173" s="1">
        <v>10</v>
      </c>
      <c r="D173">
        <v>1.1499999999999999</v>
      </c>
      <c r="E173">
        <v>6</v>
      </c>
      <c r="F173">
        <v>6</v>
      </c>
      <c r="G173">
        <v>0.66</v>
      </c>
      <c r="H173">
        <v>0</v>
      </c>
      <c r="I173">
        <v>0</v>
      </c>
      <c r="J173" s="1">
        <v>1</v>
      </c>
      <c r="L173">
        <f t="shared" si="2"/>
        <v>0</v>
      </c>
    </row>
    <row r="174" spans="1:12" x14ac:dyDescent="0.3">
      <c r="A174">
        <v>70</v>
      </c>
      <c r="B174">
        <v>3</v>
      </c>
      <c r="C174" s="1">
        <v>20</v>
      </c>
      <c r="D174">
        <v>1.1499999999999999</v>
      </c>
      <c r="E174">
        <v>6</v>
      </c>
      <c r="F174">
        <v>6</v>
      </c>
      <c r="G174">
        <v>0.59199999999999997</v>
      </c>
      <c r="H174">
        <v>0</v>
      </c>
      <c r="I174">
        <v>0</v>
      </c>
      <c r="J174" s="1">
        <v>1</v>
      </c>
      <c r="L174">
        <f t="shared" si="2"/>
        <v>0</v>
      </c>
    </row>
    <row r="175" spans="1:12" x14ac:dyDescent="0.3">
      <c r="A175">
        <v>70</v>
      </c>
      <c r="B175">
        <v>3</v>
      </c>
      <c r="C175" s="1">
        <v>30</v>
      </c>
      <c r="D175">
        <v>1.1499999999999999</v>
      </c>
      <c r="E175">
        <v>6</v>
      </c>
      <c r="F175">
        <v>6</v>
      </c>
      <c r="G175">
        <v>0.503</v>
      </c>
      <c r="H175">
        <v>0</v>
      </c>
      <c r="I175">
        <v>0</v>
      </c>
      <c r="J175" s="1">
        <v>1</v>
      </c>
      <c r="L175">
        <f t="shared" si="2"/>
        <v>0</v>
      </c>
    </row>
    <row r="176" spans="1:12" x14ac:dyDescent="0.3">
      <c r="A176">
        <v>70</v>
      </c>
      <c r="B176">
        <v>3</v>
      </c>
      <c r="C176" s="1">
        <v>40</v>
      </c>
      <c r="D176">
        <v>1.1499999999999999</v>
      </c>
      <c r="E176">
        <v>6</v>
      </c>
      <c r="F176">
        <v>6</v>
      </c>
      <c r="G176">
        <v>0.66700000000000004</v>
      </c>
      <c r="H176">
        <v>0</v>
      </c>
      <c r="I176">
        <v>0</v>
      </c>
      <c r="J176" s="1">
        <v>1</v>
      </c>
      <c r="L176">
        <f t="shared" si="2"/>
        <v>0</v>
      </c>
    </row>
    <row r="177" spans="1:12" x14ac:dyDescent="0.3">
      <c r="A177">
        <v>70</v>
      </c>
      <c r="B177">
        <v>3</v>
      </c>
      <c r="C177" s="1">
        <v>50</v>
      </c>
      <c r="D177">
        <v>1.1499999999999999</v>
      </c>
      <c r="E177">
        <v>6</v>
      </c>
      <c r="F177">
        <v>6</v>
      </c>
      <c r="G177">
        <v>0.745</v>
      </c>
      <c r="H177">
        <v>0</v>
      </c>
      <c r="I177">
        <v>0</v>
      </c>
      <c r="J177" s="1">
        <v>1</v>
      </c>
      <c r="L177">
        <f t="shared" si="2"/>
        <v>0</v>
      </c>
    </row>
    <row r="178" spans="1:12" x14ac:dyDescent="0.3">
      <c r="A178">
        <v>70</v>
      </c>
      <c r="B178">
        <v>3</v>
      </c>
      <c r="C178" s="1">
        <v>60</v>
      </c>
      <c r="D178">
        <v>1.1499999999999999</v>
      </c>
      <c r="E178">
        <v>6</v>
      </c>
      <c r="F178">
        <v>6</v>
      </c>
      <c r="G178">
        <v>0.58799999999999997</v>
      </c>
      <c r="H178">
        <v>0</v>
      </c>
      <c r="I178">
        <v>0</v>
      </c>
      <c r="J178" s="1">
        <v>1</v>
      </c>
      <c r="L178">
        <f t="shared" si="2"/>
        <v>0</v>
      </c>
    </row>
    <row r="179" spans="1:12" x14ac:dyDescent="0.3">
      <c r="A179">
        <v>70</v>
      </c>
      <c r="B179">
        <v>3</v>
      </c>
      <c r="C179" s="1">
        <v>70</v>
      </c>
      <c r="D179">
        <v>1.1499999999999999</v>
      </c>
      <c r="E179">
        <v>6</v>
      </c>
      <c r="F179">
        <v>6</v>
      </c>
      <c r="G179">
        <v>0.40600000000000003</v>
      </c>
      <c r="H179">
        <v>0</v>
      </c>
      <c r="I179">
        <v>0</v>
      </c>
      <c r="J179" s="1">
        <v>1</v>
      </c>
      <c r="L179">
        <f t="shared" si="2"/>
        <v>0</v>
      </c>
    </row>
    <row r="180" spans="1:12" x14ac:dyDescent="0.3">
      <c r="A180">
        <v>70</v>
      </c>
      <c r="B180">
        <v>3</v>
      </c>
      <c r="C180" s="1">
        <v>80</v>
      </c>
      <c r="D180">
        <v>1.1499999999999999</v>
      </c>
      <c r="E180">
        <v>6</v>
      </c>
      <c r="F180">
        <v>6</v>
      </c>
      <c r="G180">
        <v>0.58399999999999996</v>
      </c>
      <c r="H180">
        <v>0</v>
      </c>
      <c r="I180">
        <v>0</v>
      </c>
      <c r="J180" s="1">
        <v>1</v>
      </c>
      <c r="L180">
        <f t="shared" si="2"/>
        <v>0</v>
      </c>
    </row>
    <row r="181" spans="1:12" x14ac:dyDescent="0.3">
      <c r="A181">
        <v>70</v>
      </c>
      <c r="B181">
        <v>3</v>
      </c>
      <c r="C181" s="1">
        <v>90</v>
      </c>
      <c r="D181">
        <v>1.1499999999999999</v>
      </c>
      <c r="E181">
        <v>6</v>
      </c>
      <c r="F181">
        <v>6</v>
      </c>
      <c r="G181">
        <v>0.63800000000000001</v>
      </c>
      <c r="H181">
        <v>0</v>
      </c>
      <c r="I181">
        <v>0</v>
      </c>
      <c r="J181" s="1">
        <v>1</v>
      </c>
      <c r="L181">
        <f t="shared" si="2"/>
        <v>0</v>
      </c>
    </row>
    <row r="182" spans="1:12" s="2" customFormat="1" x14ac:dyDescent="0.3">
      <c r="A182" s="2">
        <v>70</v>
      </c>
      <c r="B182" s="2">
        <v>3</v>
      </c>
      <c r="C182" s="3">
        <v>100</v>
      </c>
      <c r="D182" s="2">
        <v>1.1499999999999999</v>
      </c>
      <c r="E182" s="2">
        <v>6</v>
      </c>
      <c r="F182" s="2">
        <v>6</v>
      </c>
      <c r="G182" s="2">
        <v>0.67500000000000004</v>
      </c>
      <c r="H182" s="2">
        <v>0</v>
      </c>
      <c r="I182" s="2">
        <v>0</v>
      </c>
      <c r="J182" s="3">
        <v>1</v>
      </c>
      <c r="K182" s="5">
        <f>AVERAGE(G173:G182)</f>
        <v>0.60579999999999989</v>
      </c>
      <c r="L182" s="2">
        <f t="shared" si="2"/>
        <v>0</v>
      </c>
    </row>
    <row r="183" spans="1:12" x14ac:dyDescent="0.3">
      <c r="A183">
        <v>70</v>
      </c>
      <c r="B183">
        <v>4</v>
      </c>
      <c r="C183" s="1">
        <v>10</v>
      </c>
      <c r="D183">
        <v>1.1499999999999999</v>
      </c>
      <c r="E183">
        <v>5</v>
      </c>
      <c r="F183">
        <v>5</v>
      </c>
      <c r="G183">
        <v>0.69</v>
      </c>
      <c r="H183">
        <v>0</v>
      </c>
      <c r="I183">
        <v>0</v>
      </c>
      <c r="J183" s="1">
        <v>1</v>
      </c>
      <c r="L183">
        <f t="shared" si="2"/>
        <v>0</v>
      </c>
    </row>
    <row r="184" spans="1:12" x14ac:dyDescent="0.3">
      <c r="A184">
        <v>70</v>
      </c>
      <c r="B184">
        <v>4</v>
      </c>
      <c r="C184" s="1">
        <v>20</v>
      </c>
      <c r="D184">
        <v>1.1499999999999999</v>
      </c>
      <c r="E184">
        <v>5</v>
      </c>
      <c r="F184">
        <v>5</v>
      </c>
      <c r="G184">
        <v>0.69</v>
      </c>
      <c r="H184">
        <v>0</v>
      </c>
      <c r="I184">
        <v>0</v>
      </c>
      <c r="J184" s="1">
        <v>1</v>
      </c>
      <c r="L184">
        <f t="shared" si="2"/>
        <v>0</v>
      </c>
    </row>
    <row r="185" spans="1:12" x14ac:dyDescent="0.3">
      <c r="A185">
        <v>70</v>
      </c>
      <c r="B185">
        <v>4</v>
      </c>
      <c r="C185" s="1">
        <v>30</v>
      </c>
      <c r="D185">
        <v>1.1499999999999999</v>
      </c>
      <c r="E185">
        <v>5</v>
      </c>
      <c r="F185">
        <v>5</v>
      </c>
      <c r="G185">
        <v>0.65600000000000003</v>
      </c>
      <c r="H185">
        <v>0</v>
      </c>
      <c r="I185">
        <v>0</v>
      </c>
      <c r="J185" s="1">
        <v>1</v>
      </c>
      <c r="L185">
        <f t="shared" si="2"/>
        <v>0</v>
      </c>
    </row>
    <row r="186" spans="1:12" x14ac:dyDescent="0.3">
      <c r="A186">
        <v>70</v>
      </c>
      <c r="B186">
        <v>4</v>
      </c>
      <c r="C186" s="1">
        <v>40</v>
      </c>
      <c r="D186">
        <v>1.1499999999999999</v>
      </c>
      <c r="E186">
        <v>5</v>
      </c>
      <c r="F186">
        <v>5</v>
      </c>
      <c r="G186">
        <v>0.68600000000000005</v>
      </c>
      <c r="H186">
        <v>0</v>
      </c>
      <c r="I186">
        <v>0</v>
      </c>
      <c r="J186" s="1">
        <v>1</v>
      </c>
      <c r="L186">
        <f t="shared" si="2"/>
        <v>0</v>
      </c>
    </row>
    <row r="187" spans="1:12" x14ac:dyDescent="0.3">
      <c r="A187">
        <v>70</v>
      </c>
      <c r="B187">
        <v>4</v>
      </c>
      <c r="C187" s="1">
        <v>50</v>
      </c>
      <c r="D187">
        <v>1.1499999999999999</v>
      </c>
      <c r="E187">
        <v>5</v>
      </c>
      <c r="F187">
        <v>5</v>
      </c>
      <c r="G187">
        <v>0.78100000000000003</v>
      </c>
      <c r="H187">
        <v>0</v>
      </c>
      <c r="I187">
        <v>0</v>
      </c>
      <c r="J187" s="1">
        <v>1</v>
      </c>
      <c r="L187">
        <f t="shared" si="2"/>
        <v>0</v>
      </c>
    </row>
    <row r="188" spans="1:12" x14ac:dyDescent="0.3">
      <c r="A188">
        <v>70</v>
      </c>
      <c r="B188">
        <v>4</v>
      </c>
      <c r="C188" s="1">
        <v>60</v>
      </c>
      <c r="D188">
        <v>1.1499999999999999</v>
      </c>
      <c r="E188">
        <v>5</v>
      </c>
      <c r="F188">
        <v>5</v>
      </c>
      <c r="G188">
        <v>0.66500000000000004</v>
      </c>
      <c r="H188">
        <v>0</v>
      </c>
      <c r="I188">
        <v>0</v>
      </c>
      <c r="J188" s="1">
        <v>1</v>
      </c>
      <c r="L188">
        <f t="shared" si="2"/>
        <v>0</v>
      </c>
    </row>
    <row r="189" spans="1:12" x14ac:dyDescent="0.3">
      <c r="A189">
        <v>70</v>
      </c>
      <c r="B189">
        <v>4</v>
      </c>
      <c r="C189" s="1">
        <v>70</v>
      </c>
      <c r="D189">
        <v>1.1499999999999999</v>
      </c>
      <c r="E189">
        <v>5</v>
      </c>
      <c r="F189">
        <v>5</v>
      </c>
      <c r="G189">
        <v>0.57799999999999996</v>
      </c>
      <c r="H189">
        <v>0</v>
      </c>
      <c r="I189">
        <v>0</v>
      </c>
      <c r="J189" s="1">
        <v>1</v>
      </c>
      <c r="L189">
        <f t="shared" si="2"/>
        <v>0</v>
      </c>
    </row>
    <row r="190" spans="1:12" x14ac:dyDescent="0.3">
      <c r="A190">
        <v>70</v>
      </c>
      <c r="B190">
        <v>4</v>
      </c>
      <c r="C190" s="1">
        <v>80</v>
      </c>
      <c r="D190">
        <v>1.1499999999999999</v>
      </c>
      <c r="E190">
        <v>5</v>
      </c>
      <c r="F190">
        <v>5</v>
      </c>
      <c r="G190">
        <v>0.66800000000000004</v>
      </c>
      <c r="H190">
        <v>0</v>
      </c>
      <c r="I190">
        <v>0</v>
      </c>
      <c r="J190" s="1">
        <v>1</v>
      </c>
      <c r="L190">
        <f t="shared" si="2"/>
        <v>0</v>
      </c>
    </row>
    <row r="191" spans="1:12" x14ac:dyDescent="0.3">
      <c r="A191">
        <v>70</v>
      </c>
      <c r="B191">
        <v>4</v>
      </c>
      <c r="C191" s="1">
        <v>90</v>
      </c>
      <c r="D191">
        <v>1.1499999999999999</v>
      </c>
      <c r="E191">
        <v>5</v>
      </c>
      <c r="F191">
        <v>5</v>
      </c>
      <c r="G191">
        <v>0.71199999999999997</v>
      </c>
      <c r="H191">
        <v>0</v>
      </c>
      <c r="I191">
        <v>0</v>
      </c>
      <c r="J191" s="1">
        <v>1</v>
      </c>
      <c r="L191">
        <f t="shared" si="2"/>
        <v>0</v>
      </c>
    </row>
    <row r="192" spans="1:12" s="2" customFormat="1" x14ac:dyDescent="0.3">
      <c r="A192" s="2">
        <v>70</v>
      </c>
      <c r="B192" s="2">
        <v>4</v>
      </c>
      <c r="C192" s="3">
        <v>100</v>
      </c>
      <c r="D192" s="2">
        <v>1.1499999999999999</v>
      </c>
      <c r="E192" s="2">
        <v>5</v>
      </c>
      <c r="F192" s="2">
        <v>5</v>
      </c>
      <c r="G192" s="2">
        <v>0.68400000000000005</v>
      </c>
      <c r="H192" s="2">
        <v>0</v>
      </c>
      <c r="I192" s="2">
        <v>0</v>
      </c>
      <c r="J192" s="3">
        <v>1</v>
      </c>
      <c r="K192" s="5">
        <f>AVERAGE(G183:G192)</f>
        <v>0.68100000000000005</v>
      </c>
      <c r="L192" s="2">
        <f t="shared" si="2"/>
        <v>0</v>
      </c>
    </row>
    <row r="193" spans="1:12" x14ac:dyDescent="0.3">
      <c r="A193">
        <v>70</v>
      </c>
      <c r="B193">
        <v>5</v>
      </c>
      <c r="C193" s="1">
        <v>10</v>
      </c>
      <c r="D193">
        <v>1.1499999999999999</v>
      </c>
      <c r="E193">
        <v>4</v>
      </c>
      <c r="F193">
        <v>4</v>
      </c>
      <c r="G193">
        <v>0.46700000000000003</v>
      </c>
      <c r="H193">
        <v>0</v>
      </c>
      <c r="I193">
        <v>0</v>
      </c>
      <c r="J193" s="1">
        <v>1</v>
      </c>
      <c r="L193">
        <f t="shared" si="2"/>
        <v>0</v>
      </c>
    </row>
    <row r="194" spans="1:12" x14ac:dyDescent="0.3">
      <c r="A194">
        <v>70</v>
      </c>
      <c r="B194">
        <v>5</v>
      </c>
      <c r="C194" s="1">
        <v>20</v>
      </c>
      <c r="D194">
        <v>1.1499999999999999</v>
      </c>
      <c r="E194">
        <v>4</v>
      </c>
      <c r="F194">
        <v>4</v>
      </c>
      <c r="G194">
        <v>0.433</v>
      </c>
      <c r="H194">
        <v>0</v>
      </c>
      <c r="I194">
        <v>0</v>
      </c>
      <c r="J194" s="1">
        <v>1</v>
      </c>
      <c r="L194">
        <f t="shared" si="2"/>
        <v>0</v>
      </c>
    </row>
    <row r="195" spans="1:12" x14ac:dyDescent="0.3">
      <c r="A195">
        <v>70</v>
      </c>
      <c r="B195">
        <v>5</v>
      </c>
      <c r="C195" s="1">
        <v>30</v>
      </c>
      <c r="D195">
        <v>1.1499999999999999</v>
      </c>
      <c r="E195">
        <v>4</v>
      </c>
      <c r="F195">
        <v>4</v>
      </c>
      <c r="G195">
        <v>0.34699999999999998</v>
      </c>
      <c r="H195">
        <v>0</v>
      </c>
      <c r="I195">
        <v>0</v>
      </c>
      <c r="J195" s="1">
        <v>1</v>
      </c>
      <c r="L195">
        <f t="shared" ref="L195:L242" si="3">IF(ISBLANK(E195),IF(ISBLANK(F195),"",100), IF(E195+F195=0, 0, IF(G195=3600, IF(E195=F195,1,(E195-F195)/E195*100), 0)))</f>
        <v>0</v>
      </c>
    </row>
    <row r="196" spans="1:12" x14ac:dyDescent="0.3">
      <c r="A196">
        <v>70</v>
      </c>
      <c r="B196">
        <v>5</v>
      </c>
      <c r="C196" s="1">
        <v>40</v>
      </c>
      <c r="D196">
        <v>1.1499999999999999</v>
      </c>
      <c r="E196">
        <v>4</v>
      </c>
      <c r="F196">
        <v>4</v>
      </c>
      <c r="G196">
        <v>0.40300000000000002</v>
      </c>
      <c r="H196">
        <v>0</v>
      </c>
      <c r="I196">
        <v>0</v>
      </c>
      <c r="J196" s="1">
        <v>1</v>
      </c>
      <c r="L196">
        <f t="shared" si="3"/>
        <v>0</v>
      </c>
    </row>
    <row r="197" spans="1:12" x14ac:dyDescent="0.3">
      <c r="A197">
        <v>70</v>
      </c>
      <c r="B197">
        <v>5</v>
      </c>
      <c r="C197" s="1">
        <v>50</v>
      </c>
      <c r="D197">
        <v>1.1499999999999999</v>
      </c>
      <c r="E197">
        <v>4</v>
      </c>
      <c r="F197">
        <v>4</v>
      </c>
      <c r="G197">
        <v>0.57299999999999995</v>
      </c>
      <c r="H197">
        <v>0</v>
      </c>
      <c r="I197">
        <v>0</v>
      </c>
      <c r="J197" s="1">
        <v>1</v>
      </c>
      <c r="L197">
        <f t="shared" si="3"/>
        <v>0</v>
      </c>
    </row>
    <row r="198" spans="1:12" x14ac:dyDescent="0.3">
      <c r="A198">
        <v>70</v>
      </c>
      <c r="B198">
        <v>5</v>
      </c>
      <c r="C198" s="1">
        <v>60</v>
      </c>
      <c r="D198">
        <v>1.1499999999999999</v>
      </c>
      <c r="E198">
        <v>4</v>
      </c>
      <c r="F198">
        <v>4</v>
      </c>
      <c r="G198">
        <v>0.374</v>
      </c>
      <c r="H198">
        <v>0</v>
      </c>
      <c r="I198">
        <v>0</v>
      </c>
      <c r="J198" s="1">
        <v>1</v>
      </c>
      <c r="L198">
        <f t="shared" si="3"/>
        <v>0</v>
      </c>
    </row>
    <row r="199" spans="1:12" x14ac:dyDescent="0.3">
      <c r="A199">
        <v>70</v>
      </c>
      <c r="B199">
        <v>5</v>
      </c>
      <c r="C199" s="1">
        <v>70</v>
      </c>
      <c r="D199">
        <v>1.1499999999999999</v>
      </c>
      <c r="E199">
        <v>4</v>
      </c>
      <c r="F199">
        <v>4</v>
      </c>
      <c r="G199">
        <v>0.27900000000000003</v>
      </c>
      <c r="H199">
        <v>0</v>
      </c>
      <c r="I199">
        <v>0</v>
      </c>
      <c r="J199" s="1">
        <v>1</v>
      </c>
      <c r="L199">
        <f t="shared" si="3"/>
        <v>0</v>
      </c>
    </row>
    <row r="200" spans="1:12" x14ac:dyDescent="0.3">
      <c r="A200">
        <v>70</v>
      </c>
      <c r="B200">
        <v>5</v>
      </c>
      <c r="C200" s="1">
        <v>80</v>
      </c>
      <c r="D200">
        <v>1.1499999999999999</v>
      </c>
      <c r="E200">
        <v>4</v>
      </c>
      <c r="F200">
        <v>4</v>
      </c>
      <c r="G200">
        <v>0.41699999999999998</v>
      </c>
      <c r="H200">
        <v>0</v>
      </c>
      <c r="I200">
        <v>0</v>
      </c>
      <c r="J200" s="1">
        <v>1</v>
      </c>
      <c r="L200">
        <f t="shared" si="3"/>
        <v>0</v>
      </c>
    </row>
    <row r="201" spans="1:12" x14ac:dyDescent="0.3">
      <c r="A201">
        <v>70</v>
      </c>
      <c r="B201">
        <v>5</v>
      </c>
      <c r="C201" s="1">
        <v>90</v>
      </c>
      <c r="D201">
        <v>1.1499999999999999</v>
      </c>
      <c r="E201">
        <v>4</v>
      </c>
      <c r="F201">
        <v>4</v>
      </c>
      <c r="G201">
        <v>0.501</v>
      </c>
      <c r="H201">
        <v>0</v>
      </c>
      <c r="I201">
        <v>0</v>
      </c>
      <c r="J201" s="1">
        <v>1</v>
      </c>
      <c r="L201">
        <f t="shared" si="3"/>
        <v>0</v>
      </c>
    </row>
    <row r="202" spans="1:12" s="2" customFormat="1" x14ac:dyDescent="0.3">
      <c r="A202" s="2">
        <v>70</v>
      </c>
      <c r="B202" s="2">
        <v>5</v>
      </c>
      <c r="C202" s="3">
        <v>100</v>
      </c>
      <c r="D202" s="2">
        <v>1.1499999999999999</v>
      </c>
      <c r="E202" s="2">
        <v>4</v>
      </c>
      <c r="F202" s="2">
        <v>4</v>
      </c>
      <c r="G202" s="2">
        <v>0.42199999999999999</v>
      </c>
      <c r="H202" s="2">
        <v>0</v>
      </c>
      <c r="I202" s="2">
        <v>0</v>
      </c>
      <c r="J202" s="3">
        <v>1</v>
      </c>
      <c r="K202" s="5">
        <f>AVERAGE(G193:G202)</f>
        <v>0.42159999999999992</v>
      </c>
      <c r="L202" s="2">
        <f t="shared" si="3"/>
        <v>0</v>
      </c>
    </row>
    <row r="203" spans="1:12" x14ac:dyDescent="0.3">
      <c r="A203">
        <v>80</v>
      </c>
      <c r="B203">
        <v>2</v>
      </c>
      <c r="C203" s="1">
        <v>10</v>
      </c>
      <c r="D203">
        <v>1.1499999999999999</v>
      </c>
      <c r="E203">
        <v>9</v>
      </c>
      <c r="F203">
        <v>9</v>
      </c>
      <c r="G203">
        <v>550.51099999999997</v>
      </c>
      <c r="H203">
        <v>0</v>
      </c>
      <c r="I203">
        <v>0</v>
      </c>
      <c r="J203" s="1">
        <v>4</v>
      </c>
      <c r="L203">
        <f t="shared" si="3"/>
        <v>0</v>
      </c>
    </row>
    <row r="204" spans="1:12" x14ac:dyDescent="0.3">
      <c r="A204">
        <v>80</v>
      </c>
      <c r="B204">
        <v>2</v>
      </c>
      <c r="C204" s="1">
        <v>20</v>
      </c>
      <c r="D204">
        <v>1.1499999999999999</v>
      </c>
      <c r="E204">
        <v>9</v>
      </c>
      <c r="F204">
        <v>9</v>
      </c>
      <c r="G204">
        <v>372.32900000000001</v>
      </c>
      <c r="H204">
        <v>0</v>
      </c>
      <c r="I204">
        <v>0</v>
      </c>
      <c r="J204" s="1">
        <v>3</v>
      </c>
      <c r="L204">
        <f t="shared" si="3"/>
        <v>0</v>
      </c>
    </row>
    <row r="205" spans="1:12" x14ac:dyDescent="0.3">
      <c r="A205">
        <v>80</v>
      </c>
      <c r="B205">
        <v>2</v>
      </c>
      <c r="C205" s="1">
        <v>30</v>
      </c>
      <c r="D205">
        <v>1.1499999999999999</v>
      </c>
      <c r="E205">
        <v>9</v>
      </c>
      <c r="F205">
        <v>9</v>
      </c>
      <c r="G205">
        <v>371.63099999999997</v>
      </c>
      <c r="H205">
        <v>0</v>
      </c>
      <c r="I205">
        <v>0</v>
      </c>
      <c r="J205" s="1">
        <v>3</v>
      </c>
      <c r="L205">
        <f t="shared" si="3"/>
        <v>0</v>
      </c>
    </row>
    <row r="206" spans="1:12" x14ac:dyDescent="0.3">
      <c r="A206">
        <v>80</v>
      </c>
      <c r="B206">
        <v>2</v>
      </c>
      <c r="C206" s="1">
        <v>40</v>
      </c>
      <c r="D206">
        <v>1.1499999999999999</v>
      </c>
      <c r="E206">
        <v>9</v>
      </c>
      <c r="F206">
        <v>9</v>
      </c>
      <c r="G206">
        <v>186.15899999999999</v>
      </c>
      <c r="H206">
        <v>0</v>
      </c>
      <c r="I206">
        <v>0</v>
      </c>
      <c r="J206" s="1">
        <v>2</v>
      </c>
      <c r="L206">
        <f t="shared" si="3"/>
        <v>0</v>
      </c>
    </row>
    <row r="207" spans="1:12" x14ac:dyDescent="0.3">
      <c r="A207">
        <v>80</v>
      </c>
      <c r="B207">
        <v>2</v>
      </c>
      <c r="C207" s="1">
        <v>50</v>
      </c>
      <c r="D207">
        <v>1.1499999999999999</v>
      </c>
      <c r="E207">
        <v>9</v>
      </c>
      <c r="F207">
        <v>9</v>
      </c>
      <c r="G207">
        <v>189.376</v>
      </c>
      <c r="H207">
        <v>0</v>
      </c>
      <c r="I207">
        <v>0</v>
      </c>
      <c r="J207" s="1">
        <v>2</v>
      </c>
      <c r="L207">
        <f t="shared" si="3"/>
        <v>0</v>
      </c>
    </row>
    <row r="208" spans="1:12" x14ac:dyDescent="0.3">
      <c r="A208">
        <v>80</v>
      </c>
      <c r="B208">
        <v>2</v>
      </c>
      <c r="C208" s="1">
        <v>60</v>
      </c>
      <c r="D208">
        <v>1.1499999999999999</v>
      </c>
      <c r="E208">
        <v>9</v>
      </c>
      <c r="F208">
        <v>9</v>
      </c>
      <c r="G208">
        <v>370.11900000000003</v>
      </c>
      <c r="H208">
        <v>0</v>
      </c>
      <c r="I208">
        <v>0</v>
      </c>
      <c r="J208" s="1">
        <v>3</v>
      </c>
      <c r="L208">
        <f t="shared" si="3"/>
        <v>0</v>
      </c>
    </row>
    <row r="209" spans="1:12" x14ac:dyDescent="0.3">
      <c r="A209">
        <v>80</v>
      </c>
      <c r="B209">
        <v>2</v>
      </c>
      <c r="C209" s="1">
        <v>70</v>
      </c>
      <c r="D209">
        <v>1.1499999999999999</v>
      </c>
      <c r="E209">
        <v>9</v>
      </c>
      <c r="F209">
        <v>9</v>
      </c>
      <c r="G209">
        <v>186.053</v>
      </c>
      <c r="H209">
        <v>0</v>
      </c>
      <c r="I209">
        <v>0</v>
      </c>
      <c r="J209" s="1">
        <v>2</v>
      </c>
      <c r="L209">
        <f t="shared" si="3"/>
        <v>0</v>
      </c>
    </row>
    <row r="210" spans="1:12" x14ac:dyDescent="0.3">
      <c r="A210">
        <v>80</v>
      </c>
      <c r="B210">
        <v>2</v>
      </c>
      <c r="C210" s="1">
        <v>80</v>
      </c>
      <c r="D210">
        <v>1.1499999999999999</v>
      </c>
      <c r="E210">
        <v>9</v>
      </c>
      <c r="F210">
        <v>9</v>
      </c>
      <c r="G210">
        <v>188.096</v>
      </c>
      <c r="H210">
        <v>0</v>
      </c>
      <c r="I210">
        <v>0</v>
      </c>
      <c r="J210" s="1">
        <v>2</v>
      </c>
      <c r="L210">
        <f t="shared" si="3"/>
        <v>0</v>
      </c>
    </row>
    <row r="211" spans="1:12" x14ac:dyDescent="0.3">
      <c r="A211">
        <v>80</v>
      </c>
      <c r="B211">
        <v>2</v>
      </c>
      <c r="C211" s="1">
        <v>90</v>
      </c>
      <c r="D211">
        <v>1.1499999999999999</v>
      </c>
      <c r="E211">
        <v>9</v>
      </c>
      <c r="F211">
        <v>9</v>
      </c>
      <c r="G211">
        <v>186.90100000000001</v>
      </c>
      <c r="H211">
        <v>0</v>
      </c>
      <c r="I211">
        <v>0</v>
      </c>
      <c r="J211" s="1">
        <v>2</v>
      </c>
      <c r="L211">
        <f t="shared" si="3"/>
        <v>0</v>
      </c>
    </row>
    <row r="212" spans="1:12" s="2" customFormat="1" x14ac:dyDescent="0.3">
      <c r="A212" s="2">
        <v>80</v>
      </c>
      <c r="B212" s="2">
        <v>2</v>
      </c>
      <c r="C212" s="3">
        <v>100</v>
      </c>
      <c r="D212" s="2">
        <v>1.1499999999999999</v>
      </c>
      <c r="E212" s="2">
        <v>9</v>
      </c>
      <c r="F212" s="2">
        <v>9</v>
      </c>
      <c r="G212" s="2">
        <v>189.869</v>
      </c>
      <c r="H212" s="2">
        <v>0</v>
      </c>
      <c r="I212" s="2">
        <v>0</v>
      </c>
      <c r="J212" s="3">
        <v>2</v>
      </c>
      <c r="K212" s="5">
        <f t="shared" ref="K212:K242" si="4">AVERAGE(G203:G212)</f>
        <v>279.1044</v>
      </c>
      <c r="L212" s="2">
        <f t="shared" si="3"/>
        <v>0</v>
      </c>
    </row>
    <row r="213" spans="1:12" x14ac:dyDescent="0.3">
      <c r="A213">
        <v>80</v>
      </c>
      <c r="B213">
        <v>3</v>
      </c>
      <c r="C213" s="1">
        <v>10</v>
      </c>
      <c r="D213">
        <v>1.1499999999999999</v>
      </c>
      <c r="E213">
        <v>8</v>
      </c>
      <c r="F213">
        <v>8</v>
      </c>
      <c r="G213">
        <v>364.74299999999999</v>
      </c>
      <c r="H213">
        <v>0</v>
      </c>
      <c r="I213">
        <v>0</v>
      </c>
      <c r="J213" s="1">
        <v>3</v>
      </c>
      <c r="L213">
        <f t="shared" si="3"/>
        <v>0</v>
      </c>
    </row>
    <row r="214" spans="1:12" x14ac:dyDescent="0.3">
      <c r="A214">
        <v>80</v>
      </c>
      <c r="B214">
        <v>3</v>
      </c>
      <c r="C214" s="1">
        <v>20</v>
      </c>
      <c r="D214">
        <v>1.1499999999999999</v>
      </c>
      <c r="E214">
        <v>8</v>
      </c>
      <c r="F214">
        <v>8</v>
      </c>
      <c r="G214">
        <v>182.31399999999999</v>
      </c>
      <c r="H214">
        <v>0</v>
      </c>
      <c r="I214">
        <v>0</v>
      </c>
      <c r="J214" s="1">
        <v>2</v>
      </c>
      <c r="L214">
        <f t="shared" si="3"/>
        <v>0</v>
      </c>
    </row>
    <row r="215" spans="1:12" x14ac:dyDescent="0.3">
      <c r="A215">
        <v>80</v>
      </c>
      <c r="B215">
        <v>3</v>
      </c>
      <c r="C215" s="1">
        <v>30</v>
      </c>
      <c r="D215">
        <v>1.1499999999999999</v>
      </c>
      <c r="E215">
        <v>8</v>
      </c>
      <c r="F215">
        <v>8</v>
      </c>
      <c r="G215">
        <v>181.56800000000001</v>
      </c>
      <c r="H215">
        <v>0</v>
      </c>
      <c r="I215">
        <v>0</v>
      </c>
      <c r="J215" s="1">
        <v>2</v>
      </c>
      <c r="L215">
        <f t="shared" si="3"/>
        <v>0</v>
      </c>
    </row>
    <row r="216" spans="1:12" x14ac:dyDescent="0.3">
      <c r="A216">
        <v>80</v>
      </c>
      <c r="B216">
        <v>3</v>
      </c>
      <c r="C216" s="1">
        <v>40</v>
      </c>
      <c r="D216">
        <v>1.1499999999999999</v>
      </c>
      <c r="E216">
        <v>8</v>
      </c>
      <c r="F216">
        <v>8</v>
      </c>
      <c r="G216">
        <v>182.82300000000001</v>
      </c>
      <c r="H216">
        <v>0</v>
      </c>
      <c r="I216">
        <v>0</v>
      </c>
      <c r="J216" s="1">
        <v>2</v>
      </c>
      <c r="L216">
        <f t="shared" si="3"/>
        <v>0</v>
      </c>
    </row>
    <row r="217" spans="1:12" x14ac:dyDescent="0.3">
      <c r="A217">
        <v>80</v>
      </c>
      <c r="B217">
        <v>3</v>
      </c>
      <c r="C217" s="1">
        <v>50</v>
      </c>
      <c r="D217">
        <v>1.1499999999999999</v>
      </c>
      <c r="E217">
        <v>8</v>
      </c>
      <c r="F217">
        <v>8</v>
      </c>
      <c r="G217">
        <v>183.57400000000001</v>
      </c>
      <c r="H217">
        <v>0</v>
      </c>
      <c r="I217">
        <v>0</v>
      </c>
      <c r="J217" s="1">
        <v>2</v>
      </c>
      <c r="L217">
        <f t="shared" si="3"/>
        <v>0</v>
      </c>
    </row>
    <row r="218" spans="1:12" x14ac:dyDescent="0.3">
      <c r="A218">
        <v>80</v>
      </c>
      <c r="B218">
        <v>3</v>
      </c>
      <c r="C218" s="1">
        <v>60</v>
      </c>
      <c r="D218">
        <v>1.1499999999999999</v>
      </c>
      <c r="E218">
        <v>8</v>
      </c>
      <c r="F218">
        <v>8</v>
      </c>
      <c r="G218">
        <v>364.06900000000002</v>
      </c>
      <c r="H218">
        <v>0</v>
      </c>
      <c r="I218">
        <v>0</v>
      </c>
      <c r="J218" s="1">
        <v>3</v>
      </c>
      <c r="L218">
        <f t="shared" si="3"/>
        <v>0</v>
      </c>
    </row>
    <row r="219" spans="1:12" x14ac:dyDescent="0.3">
      <c r="A219">
        <v>80</v>
      </c>
      <c r="B219">
        <v>3</v>
      </c>
      <c r="C219" s="1">
        <v>70</v>
      </c>
      <c r="D219">
        <v>1.1499999999999999</v>
      </c>
      <c r="E219">
        <v>8</v>
      </c>
      <c r="F219">
        <v>8</v>
      </c>
      <c r="G219">
        <v>0.27</v>
      </c>
      <c r="H219">
        <v>0</v>
      </c>
      <c r="I219">
        <v>0</v>
      </c>
      <c r="J219" s="1">
        <v>1</v>
      </c>
      <c r="L219">
        <f t="shared" si="3"/>
        <v>0</v>
      </c>
    </row>
    <row r="220" spans="1:12" x14ac:dyDescent="0.3">
      <c r="A220">
        <v>80</v>
      </c>
      <c r="B220">
        <v>3</v>
      </c>
      <c r="C220" s="1">
        <v>80</v>
      </c>
      <c r="D220">
        <v>1.1499999999999999</v>
      </c>
      <c r="E220">
        <v>8</v>
      </c>
      <c r="F220">
        <v>8</v>
      </c>
      <c r="G220">
        <v>1.603</v>
      </c>
      <c r="H220">
        <v>0</v>
      </c>
      <c r="I220">
        <v>0</v>
      </c>
      <c r="J220" s="1">
        <v>1</v>
      </c>
      <c r="L220">
        <f t="shared" si="3"/>
        <v>0</v>
      </c>
    </row>
    <row r="221" spans="1:12" x14ac:dyDescent="0.3">
      <c r="A221">
        <v>80</v>
      </c>
      <c r="B221">
        <v>3</v>
      </c>
      <c r="C221" s="1">
        <v>90</v>
      </c>
      <c r="D221">
        <v>1.1499999999999999</v>
      </c>
      <c r="E221">
        <v>8</v>
      </c>
      <c r="F221">
        <v>8</v>
      </c>
      <c r="G221">
        <v>183.35900000000001</v>
      </c>
      <c r="H221">
        <v>0</v>
      </c>
      <c r="I221">
        <v>0</v>
      </c>
      <c r="J221" s="1">
        <v>2</v>
      </c>
      <c r="L221">
        <f t="shared" si="3"/>
        <v>0</v>
      </c>
    </row>
    <row r="222" spans="1:12" s="2" customFormat="1" x14ac:dyDescent="0.3">
      <c r="A222" s="2">
        <v>80</v>
      </c>
      <c r="B222" s="2">
        <v>3</v>
      </c>
      <c r="C222" s="3">
        <v>100</v>
      </c>
      <c r="D222" s="2">
        <v>1.1499999999999999</v>
      </c>
      <c r="E222" s="2">
        <v>8</v>
      </c>
      <c r="F222" s="2">
        <v>8</v>
      </c>
      <c r="G222" s="2">
        <v>182.95400000000001</v>
      </c>
      <c r="H222" s="2">
        <v>0</v>
      </c>
      <c r="I222" s="2">
        <v>0</v>
      </c>
      <c r="J222" s="3">
        <v>2</v>
      </c>
      <c r="K222" s="5">
        <f>AVERAGE(G213:G222)</f>
        <v>182.72769999999997</v>
      </c>
      <c r="L222" s="2">
        <f t="shared" si="3"/>
        <v>0</v>
      </c>
    </row>
    <row r="223" spans="1:12" x14ac:dyDescent="0.3">
      <c r="A223">
        <v>80</v>
      </c>
      <c r="B223">
        <v>4</v>
      </c>
      <c r="C223" s="1">
        <v>10</v>
      </c>
      <c r="D223">
        <v>1.1499999999999999</v>
      </c>
      <c r="E223">
        <v>7</v>
      </c>
      <c r="F223">
        <v>7</v>
      </c>
      <c r="G223">
        <v>1.028</v>
      </c>
      <c r="H223">
        <v>0</v>
      </c>
      <c r="I223">
        <v>0</v>
      </c>
      <c r="J223" s="1">
        <v>1</v>
      </c>
      <c r="L223">
        <f t="shared" si="3"/>
        <v>0</v>
      </c>
    </row>
    <row r="224" spans="1:12" x14ac:dyDescent="0.3">
      <c r="A224">
        <v>80</v>
      </c>
      <c r="B224">
        <v>4</v>
      </c>
      <c r="C224" s="1">
        <v>20</v>
      </c>
      <c r="D224">
        <v>1.1499999999999999</v>
      </c>
      <c r="E224">
        <v>7</v>
      </c>
      <c r="F224">
        <v>7</v>
      </c>
      <c r="G224">
        <v>0.69099999999999995</v>
      </c>
      <c r="H224">
        <v>0</v>
      </c>
      <c r="I224">
        <v>0</v>
      </c>
      <c r="J224" s="1">
        <v>1</v>
      </c>
      <c r="L224">
        <f t="shared" si="3"/>
        <v>0</v>
      </c>
    </row>
    <row r="225" spans="1:12" x14ac:dyDescent="0.3">
      <c r="A225">
        <v>80</v>
      </c>
      <c r="B225">
        <v>4</v>
      </c>
      <c r="C225" s="1">
        <v>30</v>
      </c>
      <c r="D225">
        <v>1.1499999999999999</v>
      </c>
      <c r="E225">
        <v>7</v>
      </c>
      <c r="F225">
        <v>7</v>
      </c>
      <c r="G225">
        <v>0.42899999999999999</v>
      </c>
      <c r="H225">
        <v>0</v>
      </c>
      <c r="I225">
        <v>0</v>
      </c>
      <c r="J225" s="1">
        <v>1</v>
      </c>
      <c r="L225">
        <f t="shared" si="3"/>
        <v>0</v>
      </c>
    </row>
    <row r="226" spans="1:12" x14ac:dyDescent="0.3">
      <c r="A226">
        <v>80</v>
      </c>
      <c r="B226">
        <v>4</v>
      </c>
      <c r="C226" s="1">
        <v>40</v>
      </c>
      <c r="D226">
        <v>1.1499999999999999</v>
      </c>
      <c r="E226">
        <v>7</v>
      </c>
      <c r="F226">
        <v>7</v>
      </c>
      <c r="G226">
        <v>0.65200000000000002</v>
      </c>
      <c r="H226">
        <v>0</v>
      </c>
      <c r="I226">
        <v>0</v>
      </c>
      <c r="J226" s="1">
        <v>1</v>
      </c>
      <c r="L226">
        <f t="shared" si="3"/>
        <v>0</v>
      </c>
    </row>
    <row r="227" spans="1:12" x14ac:dyDescent="0.3">
      <c r="A227">
        <v>80</v>
      </c>
      <c r="B227">
        <v>4</v>
      </c>
      <c r="C227" s="1">
        <v>50</v>
      </c>
      <c r="D227">
        <v>1.1499999999999999</v>
      </c>
      <c r="E227">
        <v>7</v>
      </c>
      <c r="F227">
        <v>7</v>
      </c>
      <c r="G227">
        <v>1.3640000000000001</v>
      </c>
      <c r="H227">
        <v>0</v>
      </c>
      <c r="I227">
        <v>0</v>
      </c>
      <c r="J227" s="1">
        <v>1</v>
      </c>
      <c r="L227">
        <f t="shared" si="3"/>
        <v>0</v>
      </c>
    </row>
    <row r="228" spans="1:12" x14ac:dyDescent="0.3">
      <c r="A228">
        <v>80</v>
      </c>
      <c r="B228">
        <v>4</v>
      </c>
      <c r="C228" s="1">
        <v>60</v>
      </c>
      <c r="D228">
        <v>1.1499999999999999</v>
      </c>
      <c r="E228">
        <v>7</v>
      </c>
      <c r="F228">
        <v>7</v>
      </c>
      <c r="G228">
        <v>0.88300000000000001</v>
      </c>
      <c r="H228">
        <v>0</v>
      </c>
      <c r="I228">
        <v>0</v>
      </c>
      <c r="J228" s="1">
        <v>1</v>
      </c>
      <c r="L228">
        <f t="shared" si="3"/>
        <v>0</v>
      </c>
    </row>
    <row r="229" spans="1:12" x14ac:dyDescent="0.3">
      <c r="A229">
        <v>80</v>
      </c>
      <c r="B229">
        <v>4</v>
      </c>
      <c r="C229" s="1">
        <v>70</v>
      </c>
      <c r="D229">
        <v>1.1499999999999999</v>
      </c>
      <c r="E229">
        <v>7</v>
      </c>
      <c r="F229">
        <v>7</v>
      </c>
      <c r="G229">
        <v>0.49399999999999999</v>
      </c>
      <c r="H229">
        <v>0</v>
      </c>
      <c r="I229">
        <v>0</v>
      </c>
      <c r="J229" s="1">
        <v>1</v>
      </c>
      <c r="L229">
        <f t="shared" si="3"/>
        <v>0</v>
      </c>
    </row>
    <row r="230" spans="1:12" x14ac:dyDescent="0.3">
      <c r="A230">
        <v>80</v>
      </c>
      <c r="B230">
        <v>4</v>
      </c>
      <c r="C230" s="1">
        <v>80</v>
      </c>
      <c r="D230">
        <v>1.1499999999999999</v>
      </c>
      <c r="E230">
        <v>7</v>
      </c>
      <c r="F230">
        <v>7</v>
      </c>
      <c r="G230">
        <v>1.427</v>
      </c>
      <c r="H230">
        <v>0</v>
      </c>
      <c r="I230">
        <v>0</v>
      </c>
      <c r="J230" s="1">
        <v>1</v>
      </c>
      <c r="L230">
        <f t="shared" si="3"/>
        <v>0</v>
      </c>
    </row>
    <row r="231" spans="1:12" x14ac:dyDescent="0.3">
      <c r="A231">
        <v>80</v>
      </c>
      <c r="B231">
        <v>4</v>
      </c>
      <c r="C231" s="1">
        <v>90</v>
      </c>
      <c r="D231">
        <v>1.1499999999999999</v>
      </c>
      <c r="E231">
        <v>7</v>
      </c>
      <c r="F231">
        <v>7</v>
      </c>
      <c r="G231">
        <v>1.415</v>
      </c>
      <c r="H231">
        <v>0</v>
      </c>
      <c r="I231">
        <v>0</v>
      </c>
      <c r="J231" s="1">
        <v>1</v>
      </c>
      <c r="L231">
        <f t="shared" si="3"/>
        <v>0</v>
      </c>
    </row>
    <row r="232" spans="1:12" s="2" customFormat="1" x14ac:dyDescent="0.3">
      <c r="A232" s="2">
        <v>80</v>
      </c>
      <c r="B232" s="2">
        <v>4</v>
      </c>
      <c r="C232" s="3">
        <v>100</v>
      </c>
      <c r="D232" s="2">
        <v>1.1499999999999999</v>
      </c>
      <c r="E232" s="2">
        <v>7</v>
      </c>
      <c r="F232" s="2">
        <v>7</v>
      </c>
      <c r="G232" s="2">
        <v>0.871</v>
      </c>
      <c r="H232" s="2">
        <v>0</v>
      </c>
      <c r="I232" s="2">
        <v>0</v>
      </c>
      <c r="J232" s="3">
        <v>1</v>
      </c>
      <c r="K232" s="5">
        <f t="shared" si="4"/>
        <v>0.9254</v>
      </c>
      <c r="L232" s="2">
        <f t="shared" si="3"/>
        <v>0</v>
      </c>
    </row>
    <row r="233" spans="1:12" x14ac:dyDescent="0.3">
      <c r="A233">
        <v>80</v>
      </c>
      <c r="B233">
        <v>5</v>
      </c>
      <c r="C233" s="1">
        <v>10</v>
      </c>
      <c r="D233">
        <v>1.1499999999999999</v>
      </c>
      <c r="E233">
        <v>6</v>
      </c>
      <c r="F233">
        <v>6</v>
      </c>
      <c r="G233">
        <v>2.4380000000000002</v>
      </c>
      <c r="H233">
        <v>0</v>
      </c>
      <c r="I233">
        <v>0</v>
      </c>
      <c r="J233" s="1">
        <v>1</v>
      </c>
      <c r="L233">
        <f t="shared" si="3"/>
        <v>0</v>
      </c>
    </row>
    <row r="234" spans="1:12" x14ac:dyDescent="0.3">
      <c r="A234">
        <v>80</v>
      </c>
      <c r="B234">
        <v>5</v>
      </c>
      <c r="C234" s="1">
        <v>20</v>
      </c>
      <c r="D234">
        <v>1.1499999999999999</v>
      </c>
      <c r="E234">
        <v>6</v>
      </c>
      <c r="F234">
        <v>6</v>
      </c>
      <c r="G234">
        <v>2.1669999999999998</v>
      </c>
      <c r="H234">
        <v>0</v>
      </c>
      <c r="I234">
        <v>0</v>
      </c>
      <c r="J234" s="1">
        <v>1</v>
      </c>
      <c r="L234">
        <f t="shared" si="3"/>
        <v>0</v>
      </c>
    </row>
    <row r="235" spans="1:12" x14ac:dyDescent="0.3">
      <c r="A235">
        <v>80</v>
      </c>
      <c r="B235">
        <v>5</v>
      </c>
      <c r="C235" s="1">
        <v>30</v>
      </c>
      <c r="D235">
        <v>1.1499999999999999</v>
      </c>
      <c r="E235">
        <v>6</v>
      </c>
      <c r="F235">
        <v>6</v>
      </c>
      <c r="G235">
        <v>2.3210000000000002</v>
      </c>
      <c r="H235">
        <v>0</v>
      </c>
      <c r="I235">
        <v>0</v>
      </c>
      <c r="J235" s="1">
        <v>1</v>
      </c>
      <c r="L235">
        <f t="shared" si="3"/>
        <v>0</v>
      </c>
    </row>
    <row r="236" spans="1:12" x14ac:dyDescent="0.3">
      <c r="A236">
        <v>80</v>
      </c>
      <c r="B236">
        <v>5</v>
      </c>
      <c r="C236" s="1">
        <v>40</v>
      </c>
      <c r="D236">
        <v>1.1499999999999999</v>
      </c>
      <c r="E236">
        <v>6</v>
      </c>
      <c r="F236">
        <v>6</v>
      </c>
      <c r="G236">
        <v>2.302</v>
      </c>
      <c r="H236">
        <v>0</v>
      </c>
      <c r="I236">
        <v>0</v>
      </c>
      <c r="J236" s="1">
        <v>1</v>
      </c>
      <c r="L236">
        <f t="shared" si="3"/>
        <v>0</v>
      </c>
    </row>
    <row r="237" spans="1:12" x14ac:dyDescent="0.3">
      <c r="A237">
        <v>80</v>
      </c>
      <c r="B237">
        <v>5</v>
      </c>
      <c r="C237" s="1">
        <v>50</v>
      </c>
      <c r="D237">
        <v>1.1499999999999999</v>
      </c>
      <c r="E237">
        <v>6</v>
      </c>
      <c r="F237">
        <v>6</v>
      </c>
      <c r="G237">
        <v>2.8010000000000002</v>
      </c>
      <c r="H237">
        <v>0</v>
      </c>
      <c r="I237">
        <v>0</v>
      </c>
      <c r="J237" s="1">
        <v>1</v>
      </c>
      <c r="L237">
        <f t="shared" si="3"/>
        <v>0</v>
      </c>
    </row>
    <row r="238" spans="1:12" x14ac:dyDescent="0.3">
      <c r="A238">
        <v>80</v>
      </c>
      <c r="B238">
        <v>5</v>
      </c>
      <c r="C238" s="1">
        <v>60</v>
      </c>
      <c r="D238">
        <v>1.1499999999999999</v>
      </c>
      <c r="E238">
        <v>6</v>
      </c>
      <c r="F238">
        <v>6</v>
      </c>
      <c r="G238">
        <v>2.347</v>
      </c>
      <c r="H238">
        <v>0</v>
      </c>
      <c r="I238">
        <v>0</v>
      </c>
      <c r="J238" s="1">
        <v>1</v>
      </c>
      <c r="L238">
        <f t="shared" si="3"/>
        <v>0</v>
      </c>
    </row>
    <row r="239" spans="1:12" x14ac:dyDescent="0.3">
      <c r="A239">
        <v>80</v>
      </c>
      <c r="B239">
        <v>5</v>
      </c>
      <c r="C239" s="1">
        <v>70</v>
      </c>
      <c r="D239">
        <v>1.1499999999999999</v>
      </c>
      <c r="E239">
        <v>6</v>
      </c>
      <c r="F239">
        <v>6</v>
      </c>
      <c r="G239">
        <v>2.3919999999999999</v>
      </c>
      <c r="H239">
        <v>0</v>
      </c>
      <c r="I239">
        <v>0</v>
      </c>
      <c r="J239" s="1">
        <v>1</v>
      </c>
      <c r="L239">
        <f t="shared" si="3"/>
        <v>0</v>
      </c>
    </row>
    <row r="240" spans="1:12" x14ac:dyDescent="0.3">
      <c r="A240">
        <v>80</v>
      </c>
      <c r="B240">
        <v>5</v>
      </c>
      <c r="C240" s="1">
        <v>80</v>
      </c>
      <c r="D240">
        <v>1.1499999999999999</v>
      </c>
      <c r="E240">
        <v>6</v>
      </c>
      <c r="F240">
        <v>6</v>
      </c>
      <c r="G240">
        <v>2.5680000000000001</v>
      </c>
      <c r="H240">
        <v>0</v>
      </c>
      <c r="I240">
        <v>0</v>
      </c>
      <c r="J240" s="1">
        <v>1</v>
      </c>
      <c r="L240">
        <f t="shared" si="3"/>
        <v>0</v>
      </c>
    </row>
    <row r="241" spans="1:12" x14ac:dyDescent="0.3">
      <c r="A241">
        <v>80</v>
      </c>
      <c r="B241">
        <v>5</v>
      </c>
      <c r="C241" s="1">
        <v>90</v>
      </c>
      <c r="D241">
        <v>1.1499999999999999</v>
      </c>
      <c r="E241">
        <v>6</v>
      </c>
      <c r="F241">
        <v>6</v>
      </c>
      <c r="G241">
        <v>2.6779999999999999</v>
      </c>
      <c r="H241">
        <v>0</v>
      </c>
      <c r="I241">
        <v>0</v>
      </c>
      <c r="J241" s="1">
        <v>1</v>
      </c>
      <c r="L241">
        <f t="shared" si="3"/>
        <v>0</v>
      </c>
    </row>
    <row r="242" spans="1:12" s="2" customFormat="1" x14ac:dyDescent="0.3">
      <c r="A242" s="2">
        <v>80</v>
      </c>
      <c r="B242" s="2">
        <v>5</v>
      </c>
      <c r="C242" s="3">
        <v>100</v>
      </c>
      <c r="D242" s="2">
        <v>1.1499999999999999</v>
      </c>
      <c r="E242" s="2">
        <v>6</v>
      </c>
      <c r="F242" s="2">
        <v>6</v>
      </c>
      <c r="G242" s="2">
        <v>2.6019999999999999</v>
      </c>
      <c r="H242" s="2">
        <v>0</v>
      </c>
      <c r="I242" s="2">
        <v>0</v>
      </c>
      <c r="J242" s="3">
        <v>1</v>
      </c>
      <c r="K242" s="5">
        <f t="shared" si="4"/>
        <v>2.4616000000000002</v>
      </c>
      <c r="L242" s="2">
        <f t="shared" si="3"/>
        <v>0</v>
      </c>
    </row>
    <row r="243" spans="1:12" x14ac:dyDescent="0.3">
      <c r="D243">
        <f>AVERAGE(D3:D242)</f>
        <v>1.1500000000000021</v>
      </c>
      <c r="E243">
        <f t="shared" ref="E243:G243" si="5">AVERAGE(E3:E242)</f>
        <v>4.041666666666667</v>
      </c>
      <c r="F243">
        <f t="shared" si="5"/>
        <v>4.041666666666667</v>
      </c>
      <c r="G243">
        <f t="shared" si="5"/>
        <v>27.882970833333339</v>
      </c>
      <c r="H243">
        <f t="shared" ref="H243:J243" si="6">SUM(H3:H242)</f>
        <v>2</v>
      </c>
      <c r="I243">
        <f t="shared" si="6"/>
        <v>2</v>
      </c>
      <c r="J243">
        <f t="shared" si="6"/>
        <v>276</v>
      </c>
      <c r="L243">
        <f>COUNTIF(L3:L242,"&gt;0")</f>
        <v>0</v>
      </c>
    </row>
    <row r="323" spans="4:12" x14ac:dyDescent="0.3">
      <c r="D323" s="6">
        <f>AVERAGE(D12:D242)</f>
        <v>1.150000000000003</v>
      </c>
      <c r="E323">
        <f>SUM(E12:E242)</f>
        <v>952</v>
      </c>
      <c r="F323">
        <f>SUM(F12:F242)</f>
        <v>952</v>
      </c>
      <c r="K323" s="4">
        <f>AVERAGE(K12:K242)</f>
        <v>27.882970833333331</v>
      </c>
      <c r="L323">
        <f>COUNTIF(L12:L242,"&gt;0")</f>
        <v>0</v>
      </c>
    </row>
  </sheetData>
  <autoFilter ref="K1:K323" xr:uid="{3BDC2A91-F62C-482F-8F5A-8E214630FF7D}"/>
  <phoneticPr fontId="1" type="noConversion"/>
  <conditionalFormatting sqref="L2:L242">
    <cfRule type="containsText" dxfId="53" priority="2" operator="containsText" text="FALSE">
      <formula>NOT(ISERROR(SEARCH("FALSE",L2)))</formula>
    </cfRule>
  </conditionalFormatting>
  <conditionalFormatting sqref="M1 M243:M322">
    <cfRule type="containsText" dxfId="52" priority="1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42B6-2CFD-4FF2-A8AA-EF4BFEF88036}">
  <dimension ref="A1:O163"/>
  <sheetViews>
    <sheetView zoomScale="70" zoomScaleNormal="70" workbookViewId="0">
      <selection activeCell="I41" sqref="I41"/>
    </sheetView>
  </sheetViews>
  <sheetFormatPr defaultRowHeight="16.5" x14ac:dyDescent="0.3"/>
  <cols>
    <col min="1" max="1" width="8.875" bestFit="1" customWidth="1"/>
    <col min="2" max="2" width="13.75" bestFit="1" customWidth="1"/>
    <col min="5" max="5" width="14.75" bestFit="1" customWidth="1"/>
    <col min="6" max="6" width="12.625" bestFit="1" customWidth="1"/>
    <col min="7" max="7" width="9.75" bestFit="1" customWidth="1"/>
    <col min="8" max="8" width="15.125" bestFit="1" customWidth="1"/>
    <col min="9" max="9" width="14.125" bestFit="1" customWidth="1"/>
    <col min="10" max="10" width="13.625" bestFit="1" customWidth="1"/>
    <col min="12" max="12" width="13" style="4" bestFit="1" customWidth="1"/>
    <col min="13" max="13" width="12.5" style="21" bestFit="1" customWidth="1"/>
    <col min="14" max="14" width="13.125" bestFit="1" customWidth="1"/>
    <col min="15" max="15" width="12.375" bestFit="1" customWidth="1"/>
  </cols>
  <sheetData>
    <row r="1" spans="1:15" s="13" customFormat="1" x14ac:dyDescent="0.3">
      <c r="C1" s="12"/>
      <c r="D1" s="13" t="s">
        <v>18</v>
      </c>
      <c r="J1" s="12"/>
      <c r="L1" s="11"/>
      <c r="M1" s="25"/>
    </row>
    <row r="2" spans="1:15" s="9" customFormat="1" x14ac:dyDescent="0.3">
      <c r="A2" s="9" t="s">
        <v>8</v>
      </c>
      <c r="B2" s="9" t="s">
        <v>9</v>
      </c>
      <c r="C2" s="17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17" t="s">
        <v>17</v>
      </c>
      <c r="K2" s="9" t="s">
        <v>5</v>
      </c>
      <c r="L2" s="15" t="s">
        <v>23</v>
      </c>
      <c r="M2" s="26" t="s">
        <v>21</v>
      </c>
      <c r="N2" s="9" t="s">
        <v>22</v>
      </c>
      <c r="O2" s="9" t="s">
        <v>24</v>
      </c>
    </row>
    <row r="3" spans="1:15" x14ac:dyDescent="0.3">
      <c r="A3">
        <v>100</v>
      </c>
      <c r="B3">
        <v>20</v>
      </c>
      <c r="C3" s="1">
        <v>10</v>
      </c>
      <c r="D3">
        <v>1.1499999999999999</v>
      </c>
      <c r="E3">
        <v>1</v>
      </c>
      <c r="F3">
        <v>0</v>
      </c>
      <c r="G3">
        <v>3600</v>
      </c>
      <c r="H3">
        <v>8</v>
      </c>
      <c r="I3">
        <v>12</v>
      </c>
      <c r="J3" s="1">
        <v>2</v>
      </c>
      <c r="K3" s="21">
        <f t="shared" ref="K3:K42" si="0">IF(ISBLANK(E3),IF(ISBLANK(F3),"",1), IF(E3+F3=0, 0, IF(G3=3600, IF(E3=F3,1,(E3-F3)/E3), 0)))</f>
        <v>1</v>
      </c>
      <c r="N3" s="21"/>
    </row>
    <row r="4" spans="1:15" x14ac:dyDescent="0.3">
      <c r="A4">
        <v>100</v>
      </c>
      <c r="B4">
        <v>20</v>
      </c>
      <c r="C4" s="1">
        <v>20</v>
      </c>
      <c r="D4">
        <v>1.1499999999999999</v>
      </c>
      <c r="E4">
        <v>0</v>
      </c>
      <c r="F4">
        <v>0</v>
      </c>
      <c r="G4">
        <v>0.23499999999999999</v>
      </c>
      <c r="H4">
        <v>4</v>
      </c>
      <c r="I4">
        <v>4</v>
      </c>
      <c r="J4" s="1">
        <v>1</v>
      </c>
      <c r="K4" s="21">
        <f t="shared" si="0"/>
        <v>0</v>
      </c>
      <c r="N4" s="21"/>
    </row>
    <row r="5" spans="1:15" x14ac:dyDescent="0.3">
      <c r="A5">
        <v>100</v>
      </c>
      <c r="B5">
        <v>20</v>
      </c>
      <c r="C5" s="1">
        <v>30</v>
      </c>
      <c r="D5">
        <v>1.1499999999999999</v>
      </c>
      <c r="E5">
        <v>0</v>
      </c>
      <c r="F5">
        <v>0</v>
      </c>
      <c r="G5">
        <v>0.21299999999999999</v>
      </c>
      <c r="H5">
        <v>5</v>
      </c>
      <c r="I5">
        <v>5</v>
      </c>
      <c r="J5" s="1">
        <v>1</v>
      </c>
      <c r="K5" s="21">
        <f t="shared" si="0"/>
        <v>0</v>
      </c>
      <c r="N5" s="21"/>
    </row>
    <row r="6" spans="1:15" x14ac:dyDescent="0.3">
      <c r="A6">
        <v>100</v>
      </c>
      <c r="B6">
        <v>20</v>
      </c>
      <c r="C6" s="1">
        <v>40</v>
      </c>
      <c r="D6">
        <v>1.1499999999999999</v>
      </c>
      <c r="E6">
        <v>0</v>
      </c>
      <c r="F6">
        <v>0</v>
      </c>
      <c r="G6">
        <v>0.38100000000000001</v>
      </c>
      <c r="H6">
        <v>6</v>
      </c>
      <c r="I6">
        <v>35</v>
      </c>
      <c r="J6" s="1">
        <v>1</v>
      </c>
      <c r="K6" s="21">
        <f t="shared" si="0"/>
        <v>0</v>
      </c>
      <c r="N6" s="21"/>
    </row>
    <row r="7" spans="1:15" x14ac:dyDescent="0.3">
      <c r="A7">
        <v>100</v>
      </c>
      <c r="B7">
        <v>20</v>
      </c>
      <c r="C7" s="1">
        <v>50</v>
      </c>
      <c r="D7">
        <v>1.1499999999999999</v>
      </c>
      <c r="E7">
        <v>0</v>
      </c>
      <c r="F7">
        <v>0</v>
      </c>
      <c r="G7">
        <v>0.27900000000000003</v>
      </c>
      <c r="H7">
        <v>6</v>
      </c>
      <c r="I7">
        <v>6</v>
      </c>
      <c r="J7" s="1">
        <v>1</v>
      </c>
      <c r="K7" s="21">
        <f t="shared" si="0"/>
        <v>0</v>
      </c>
      <c r="N7" s="21"/>
    </row>
    <row r="8" spans="1:15" x14ac:dyDescent="0.3">
      <c r="A8">
        <v>100</v>
      </c>
      <c r="B8">
        <v>20</v>
      </c>
      <c r="C8" s="1">
        <v>60</v>
      </c>
      <c r="D8">
        <v>1.1499999999999999</v>
      </c>
      <c r="E8">
        <v>0</v>
      </c>
      <c r="F8">
        <v>0</v>
      </c>
      <c r="G8">
        <v>0.437</v>
      </c>
      <c r="H8">
        <v>6</v>
      </c>
      <c r="I8">
        <v>8</v>
      </c>
      <c r="J8" s="1">
        <v>1</v>
      </c>
      <c r="K8" s="21">
        <f t="shared" si="0"/>
        <v>0</v>
      </c>
      <c r="N8" s="21"/>
    </row>
    <row r="9" spans="1:15" x14ac:dyDescent="0.3">
      <c r="A9">
        <v>100</v>
      </c>
      <c r="B9">
        <v>20</v>
      </c>
      <c r="C9" s="1">
        <v>70</v>
      </c>
      <c r="D9">
        <v>1.1499999999999999</v>
      </c>
      <c r="E9">
        <v>0</v>
      </c>
      <c r="F9">
        <v>0</v>
      </c>
      <c r="G9">
        <v>0.27900000000000003</v>
      </c>
      <c r="H9">
        <v>5</v>
      </c>
      <c r="I9">
        <v>5</v>
      </c>
      <c r="J9" s="1">
        <v>1</v>
      </c>
      <c r="K9" s="21">
        <f t="shared" si="0"/>
        <v>0</v>
      </c>
      <c r="N9" s="21"/>
    </row>
    <row r="10" spans="1:15" x14ac:dyDescent="0.3">
      <c r="A10">
        <v>100</v>
      </c>
      <c r="B10">
        <v>20</v>
      </c>
      <c r="C10" s="1">
        <v>80</v>
      </c>
      <c r="D10">
        <v>1.1499999999999999</v>
      </c>
      <c r="E10">
        <v>0</v>
      </c>
      <c r="F10">
        <v>0</v>
      </c>
      <c r="G10">
        <v>0.218</v>
      </c>
      <c r="H10">
        <v>7</v>
      </c>
      <c r="I10">
        <v>7</v>
      </c>
      <c r="J10" s="1">
        <v>1</v>
      </c>
      <c r="K10" s="21">
        <f t="shared" si="0"/>
        <v>0</v>
      </c>
      <c r="N10" s="21"/>
    </row>
    <row r="11" spans="1:15" x14ac:dyDescent="0.3">
      <c r="A11">
        <v>100</v>
      </c>
      <c r="B11">
        <v>20</v>
      </c>
      <c r="C11" s="1">
        <v>90</v>
      </c>
      <c r="D11">
        <v>1.1499999999999999</v>
      </c>
      <c r="E11">
        <v>0</v>
      </c>
      <c r="F11">
        <v>0</v>
      </c>
      <c r="G11">
        <v>0.317</v>
      </c>
      <c r="H11">
        <v>6</v>
      </c>
      <c r="I11">
        <v>9</v>
      </c>
      <c r="J11" s="1">
        <v>1</v>
      </c>
      <c r="K11" s="21">
        <f t="shared" si="0"/>
        <v>0</v>
      </c>
      <c r="N11" s="21"/>
    </row>
    <row r="12" spans="1:15" s="2" customFormat="1" x14ac:dyDescent="0.3">
      <c r="A12" s="2">
        <v>100</v>
      </c>
      <c r="B12" s="2">
        <v>20</v>
      </c>
      <c r="C12" s="3">
        <v>100</v>
      </c>
      <c r="D12" s="2">
        <v>1.1499999999999999</v>
      </c>
      <c r="E12" s="2">
        <v>0</v>
      </c>
      <c r="F12" s="2">
        <v>0</v>
      </c>
      <c r="G12" s="2">
        <v>0.23</v>
      </c>
      <c r="H12" s="2">
        <v>6</v>
      </c>
      <c r="I12" s="2">
        <v>6</v>
      </c>
      <c r="J12" s="3">
        <v>1</v>
      </c>
      <c r="K12" s="22">
        <f t="shared" si="0"/>
        <v>0</v>
      </c>
      <c r="L12" s="5">
        <f>AVERAGE(G3:G12)</f>
        <v>360.25889999999998</v>
      </c>
      <c r="M12" s="22">
        <f>1-COUNTBLANK(E3:E12)/10</f>
        <v>1</v>
      </c>
      <c r="N12" s="22">
        <f>AVERAGE(K3:K12)</f>
        <v>0.1</v>
      </c>
      <c r="O12" s="2" cm="1">
        <f t="array" ref="O12">SUMPRODUCT(E3:E12-F3:F12)/10</f>
        <v>0.1</v>
      </c>
    </row>
    <row r="13" spans="1:15" x14ac:dyDescent="0.3">
      <c r="A13">
        <v>100</v>
      </c>
      <c r="B13">
        <v>25</v>
      </c>
      <c r="C13" s="1">
        <v>10</v>
      </c>
      <c r="D13">
        <v>1.1499999999999999</v>
      </c>
      <c r="E13">
        <v>0</v>
      </c>
      <c r="F13">
        <v>0</v>
      </c>
      <c r="G13">
        <v>0.47699999999999998</v>
      </c>
      <c r="H13">
        <v>10</v>
      </c>
      <c r="I13">
        <v>23</v>
      </c>
      <c r="J13" s="1">
        <v>1</v>
      </c>
      <c r="K13" s="21">
        <f t="shared" si="0"/>
        <v>0</v>
      </c>
      <c r="N13" s="21"/>
    </row>
    <row r="14" spans="1:15" x14ac:dyDescent="0.3">
      <c r="A14">
        <v>100</v>
      </c>
      <c r="B14">
        <v>25</v>
      </c>
      <c r="C14" s="1">
        <v>20</v>
      </c>
      <c r="D14">
        <v>1.1499999999999999</v>
      </c>
      <c r="E14">
        <v>0</v>
      </c>
      <c r="F14">
        <v>0</v>
      </c>
      <c r="G14">
        <v>0.69099999999999995</v>
      </c>
      <c r="H14">
        <v>12</v>
      </c>
      <c r="I14">
        <v>42</v>
      </c>
      <c r="J14" s="1">
        <v>1</v>
      </c>
      <c r="K14" s="21">
        <f t="shared" si="0"/>
        <v>0</v>
      </c>
      <c r="N14" s="21"/>
    </row>
    <row r="15" spans="1:15" x14ac:dyDescent="0.3">
      <c r="A15">
        <v>100</v>
      </c>
      <c r="B15">
        <v>25</v>
      </c>
      <c r="C15" s="1">
        <v>30</v>
      </c>
      <c r="D15">
        <v>1.1499999999999999</v>
      </c>
      <c r="E15">
        <v>0</v>
      </c>
      <c r="F15">
        <v>0</v>
      </c>
      <c r="G15">
        <v>0.29399999999999998</v>
      </c>
      <c r="H15">
        <v>11</v>
      </c>
      <c r="I15">
        <v>11</v>
      </c>
      <c r="J15" s="1">
        <v>1</v>
      </c>
      <c r="K15" s="21">
        <f t="shared" si="0"/>
        <v>0</v>
      </c>
      <c r="N15" s="21"/>
    </row>
    <row r="16" spans="1:15" x14ac:dyDescent="0.3">
      <c r="A16">
        <v>100</v>
      </c>
      <c r="B16">
        <v>25</v>
      </c>
      <c r="C16" s="1">
        <v>40</v>
      </c>
      <c r="D16">
        <v>1.1499999999999999</v>
      </c>
      <c r="E16">
        <v>0</v>
      </c>
      <c r="F16">
        <v>0</v>
      </c>
      <c r="G16">
        <v>1.1439999999999999</v>
      </c>
      <c r="H16">
        <v>12</v>
      </c>
      <c r="I16">
        <v>66</v>
      </c>
      <c r="J16" s="1">
        <v>1</v>
      </c>
      <c r="K16" s="21">
        <f t="shared" si="0"/>
        <v>0</v>
      </c>
      <c r="N16" s="21"/>
    </row>
    <row r="17" spans="1:15" x14ac:dyDescent="0.3">
      <c r="A17">
        <v>100</v>
      </c>
      <c r="B17">
        <v>25</v>
      </c>
      <c r="C17" s="1">
        <v>50</v>
      </c>
      <c r="D17">
        <v>1.1499999999999999</v>
      </c>
      <c r="E17">
        <v>1</v>
      </c>
      <c r="F17">
        <v>0</v>
      </c>
      <c r="G17">
        <v>3600</v>
      </c>
      <c r="H17">
        <v>13</v>
      </c>
      <c r="I17">
        <v>37</v>
      </c>
      <c r="J17" s="1">
        <v>2</v>
      </c>
      <c r="K17" s="21">
        <f t="shared" si="0"/>
        <v>1</v>
      </c>
      <c r="N17" s="21"/>
    </row>
    <row r="18" spans="1:15" x14ac:dyDescent="0.3">
      <c r="A18">
        <v>100</v>
      </c>
      <c r="B18">
        <v>25</v>
      </c>
      <c r="C18" s="1">
        <v>60</v>
      </c>
      <c r="D18">
        <v>1.1499999999999999</v>
      </c>
      <c r="E18">
        <v>0</v>
      </c>
      <c r="F18">
        <v>0</v>
      </c>
      <c r="G18">
        <v>1.369</v>
      </c>
      <c r="H18">
        <v>10</v>
      </c>
      <c r="I18">
        <v>87</v>
      </c>
      <c r="J18" s="1">
        <v>1</v>
      </c>
      <c r="K18" s="21">
        <f t="shared" si="0"/>
        <v>0</v>
      </c>
      <c r="N18" s="21"/>
    </row>
    <row r="19" spans="1:15" x14ac:dyDescent="0.3">
      <c r="A19">
        <v>100</v>
      </c>
      <c r="B19">
        <v>25</v>
      </c>
      <c r="C19" s="1">
        <v>70</v>
      </c>
      <c r="D19">
        <v>1.1499999999999999</v>
      </c>
      <c r="E19">
        <v>0</v>
      </c>
      <c r="F19">
        <v>0</v>
      </c>
      <c r="G19">
        <v>0.46300000000000002</v>
      </c>
      <c r="H19">
        <v>9</v>
      </c>
      <c r="I19">
        <v>18</v>
      </c>
      <c r="J19" s="1">
        <v>1</v>
      </c>
      <c r="K19" s="21">
        <f t="shared" si="0"/>
        <v>0</v>
      </c>
      <c r="N19" s="21"/>
    </row>
    <row r="20" spans="1:15" x14ac:dyDescent="0.3">
      <c r="A20">
        <v>100</v>
      </c>
      <c r="B20">
        <v>25</v>
      </c>
      <c r="C20" s="1">
        <v>80</v>
      </c>
      <c r="D20">
        <v>1.1499999999999999</v>
      </c>
      <c r="E20">
        <v>0</v>
      </c>
      <c r="F20">
        <v>0</v>
      </c>
      <c r="G20">
        <v>0.34799999999999998</v>
      </c>
      <c r="H20">
        <v>11</v>
      </c>
      <c r="I20">
        <v>11</v>
      </c>
      <c r="J20" s="1">
        <v>1</v>
      </c>
      <c r="K20" s="21">
        <f t="shared" si="0"/>
        <v>0</v>
      </c>
      <c r="N20" s="21"/>
    </row>
    <row r="21" spans="1:15" x14ac:dyDescent="0.3">
      <c r="A21">
        <v>100</v>
      </c>
      <c r="B21">
        <v>25</v>
      </c>
      <c r="C21" s="1">
        <v>90</v>
      </c>
      <c r="D21">
        <v>1.1499999999999999</v>
      </c>
      <c r="E21">
        <v>0</v>
      </c>
      <c r="F21">
        <v>0</v>
      </c>
      <c r="G21">
        <v>0.95799999999999996</v>
      </c>
      <c r="H21">
        <v>12</v>
      </c>
      <c r="I21">
        <v>43</v>
      </c>
      <c r="J21" s="1">
        <v>1</v>
      </c>
      <c r="K21" s="21">
        <f t="shared" si="0"/>
        <v>0</v>
      </c>
      <c r="N21" s="21"/>
    </row>
    <row r="22" spans="1:15" s="2" customFormat="1" x14ac:dyDescent="0.3">
      <c r="A22" s="2">
        <v>100</v>
      </c>
      <c r="B22" s="2">
        <v>25</v>
      </c>
      <c r="C22" s="3">
        <v>100</v>
      </c>
      <c r="D22" s="2">
        <v>1.1499999999999999</v>
      </c>
      <c r="E22" s="2">
        <v>2</v>
      </c>
      <c r="F22" s="2">
        <v>0</v>
      </c>
      <c r="G22" s="2">
        <v>3600</v>
      </c>
      <c r="H22" s="2">
        <v>13</v>
      </c>
      <c r="I22" s="2">
        <v>388</v>
      </c>
      <c r="J22" s="3">
        <v>2</v>
      </c>
      <c r="K22" s="22">
        <f t="shared" si="0"/>
        <v>1</v>
      </c>
      <c r="L22" s="5">
        <f>AVERAGE(G13:G22)</f>
        <v>720.57440000000008</v>
      </c>
      <c r="M22" s="22">
        <f t="shared" ref="M22" si="1">1-COUNTBLANK(E13:E22)/10</f>
        <v>1</v>
      </c>
      <c r="N22" s="22">
        <f>AVERAGE(K13:K22)</f>
        <v>0.2</v>
      </c>
      <c r="O22" s="2" cm="1">
        <f t="array" ref="O22">SUMPRODUCT(E13:E22-F13:F22)/10</f>
        <v>0.3</v>
      </c>
    </row>
    <row r="23" spans="1:15" x14ac:dyDescent="0.3">
      <c r="A23">
        <v>200</v>
      </c>
      <c r="B23">
        <v>20</v>
      </c>
      <c r="C23" s="1">
        <v>10</v>
      </c>
      <c r="D23">
        <v>1.1499999999999999</v>
      </c>
      <c r="E23">
        <v>6</v>
      </c>
      <c r="F23">
        <v>6</v>
      </c>
      <c r="G23">
        <v>1264.116</v>
      </c>
      <c r="H23">
        <v>0</v>
      </c>
      <c r="I23">
        <v>93</v>
      </c>
      <c r="J23" s="1">
        <v>12</v>
      </c>
      <c r="K23" s="21">
        <f t="shared" si="0"/>
        <v>0</v>
      </c>
      <c r="N23" s="21"/>
    </row>
    <row r="24" spans="1:15" x14ac:dyDescent="0.3">
      <c r="A24">
        <v>200</v>
      </c>
      <c r="B24">
        <v>20</v>
      </c>
      <c r="C24" s="1">
        <v>20</v>
      </c>
      <c r="D24">
        <v>1.1499999999999999</v>
      </c>
      <c r="E24">
        <v>6</v>
      </c>
      <c r="F24">
        <v>6</v>
      </c>
      <c r="G24">
        <v>1175.029</v>
      </c>
      <c r="H24">
        <v>0</v>
      </c>
      <c r="I24">
        <v>77</v>
      </c>
      <c r="J24" s="1">
        <v>16</v>
      </c>
      <c r="K24" s="21">
        <f t="shared" si="0"/>
        <v>0</v>
      </c>
      <c r="N24" s="21"/>
    </row>
    <row r="25" spans="1:15" x14ac:dyDescent="0.3">
      <c r="A25">
        <v>200</v>
      </c>
      <c r="B25">
        <v>20</v>
      </c>
      <c r="C25" s="1">
        <v>30</v>
      </c>
      <c r="D25">
        <v>1.1499999999999999</v>
      </c>
      <c r="E25">
        <v>6</v>
      </c>
      <c r="F25">
        <v>6</v>
      </c>
      <c r="G25">
        <v>829.80200000000002</v>
      </c>
      <c r="H25">
        <v>0</v>
      </c>
      <c r="I25">
        <v>68</v>
      </c>
      <c r="J25" s="1">
        <v>16</v>
      </c>
      <c r="K25" s="21">
        <f t="shared" si="0"/>
        <v>0</v>
      </c>
      <c r="N25" s="21"/>
    </row>
    <row r="26" spans="1:15" x14ac:dyDescent="0.3">
      <c r="A26">
        <v>200</v>
      </c>
      <c r="B26">
        <v>20</v>
      </c>
      <c r="C26" s="1">
        <v>40</v>
      </c>
      <c r="D26">
        <v>1.1499999999999999</v>
      </c>
      <c r="E26">
        <v>6</v>
      </c>
      <c r="F26">
        <v>6</v>
      </c>
      <c r="G26">
        <v>171.53700000000001</v>
      </c>
      <c r="H26">
        <v>0</v>
      </c>
      <c r="I26">
        <v>34</v>
      </c>
      <c r="J26" s="1">
        <v>8</v>
      </c>
      <c r="K26" s="21">
        <f t="shared" si="0"/>
        <v>0</v>
      </c>
      <c r="N26" s="21"/>
    </row>
    <row r="27" spans="1:15" x14ac:dyDescent="0.3">
      <c r="A27">
        <v>200</v>
      </c>
      <c r="B27">
        <v>20</v>
      </c>
      <c r="C27" s="1">
        <v>50</v>
      </c>
      <c r="D27">
        <v>1.1499999999999999</v>
      </c>
      <c r="E27">
        <v>7</v>
      </c>
      <c r="F27">
        <v>6</v>
      </c>
      <c r="G27">
        <v>3600</v>
      </c>
      <c r="H27">
        <v>0</v>
      </c>
      <c r="I27">
        <v>40</v>
      </c>
      <c r="J27" s="1">
        <v>5</v>
      </c>
      <c r="K27" s="21">
        <f t="shared" si="0"/>
        <v>0.14285714285714285</v>
      </c>
      <c r="N27" s="21"/>
    </row>
    <row r="28" spans="1:15" x14ac:dyDescent="0.3">
      <c r="A28">
        <v>200</v>
      </c>
      <c r="B28">
        <v>20</v>
      </c>
      <c r="C28" s="1">
        <v>60</v>
      </c>
      <c r="D28">
        <v>1.1499999999999999</v>
      </c>
      <c r="E28">
        <v>6</v>
      </c>
      <c r="F28">
        <v>6</v>
      </c>
      <c r="G28">
        <v>2001.722</v>
      </c>
      <c r="H28">
        <v>0</v>
      </c>
      <c r="I28">
        <v>56</v>
      </c>
      <c r="J28" s="1">
        <v>23</v>
      </c>
      <c r="K28" s="21">
        <f t="shared" si="0"/>
        <v>0</v>
      </c>
      <c r="N28" s="21"/>
    </row>
    <row r="29" spans="1:15" x14ac:dyDescent="0.3">
      <c r="A29">
        <v>200</v>
      </c>
      <c r="B29">
        <v>20</v>
      </c>
      <c r="C29" s="1">
        <v>70</v>
      </c>
      <c r="D29">
        <v>1.1499999999999999</v>
      </c>
      <c r="E29">
        <v>7</v>
      </c>
      <c r="F29">
        <v>6</v>
      </c>
      <c r="G29">
        <v>3600</v>
      </c>
      <c r="H29">
        <v>0</v>
      </c>
      <c r="I29">
        <v>94</v>
      </c>
      <c r="J29" s="1">
        <v>13</v>
      </c>
      <c r="K29" s="21">
        <f t="shared" si="0"/>
        <v>0.14285714285714285</v>
      </c>
      <c r="N29" s="21"/>
    </row>
    <row r="30" spans="1:15" x14ac:dyDescent="0.3">
      <c r="A30">
        <v>200</v>
      </c>
      <c r="B30">
        <v>20</v>
      </c>
      <c r="C30" s="1">
        <v>80</v>
      </c>
      <c r="D30">
        <v>1.1499999999999999</v>
      </c>
      <c r="E30">
        <v>6</v>
      </c>
      <c r="F30">
        <v>6</v>
      </c>
      <c r="G30">
        <v>52.905000000000001</v>
      </c>
      <c r="H30">
        <v>0</v>
      </c>
      <c r="I30">
        <v>18</v>
      </c>
      <c r="J30" s="1">
        <v>2</v>
      </c>
      <c r="K30" s="21">
        <f t="shared" si="0"/>
        <v>0</v>
      </c>
      <c r="N30" s="21"/>
    </row>
    <row r="31" spans="1:15" x14ac:dyDescent="0.3">
      <c r="A31">
        <v>200</v>
      </c>
      <c r="B31">
        <v>20</v>
      </c>
      <c r="C31" s="1">
        <v>90</v>
      </c>
      <c r="D31">
        <v>1.1499999999999999</v>
      </c>
      <c r="E31">
        <v>6</v>
      </c>
      <c r="F31">
        <v>6</v>
      </c>
      <c r="G31">
        <v>754.74800000000005</v>
      </c>
      <c r="H31">
        <v>0</v>
      </c>
      <c r="I31">
        <v>35</v>
      </c>
      <c r="J31" s="1">
        <v>9</v>
      </c>
      <c r="K31" s="21">
        <f t="shared" si="0"/>
        <v>0</v>
      </c>
      <c r="N31" s="21"/>
    </row>
    <row r="32" spans="1:15" s="2" customFormat="1" x14ac:dyDescent="0.3">
      <c r="A32" s="2">
        <v>200</v>
      </c>
      <c r="B32" s="2">
        <v>20</v>
      </c>
      <c r="C32" s="3">
        <v>100</v>
      </c>
      <c r="D32" s="2">
        <v>1.1499999999999999</v>
      </c>
      <c r="E32" s="2">
        <v>7</v>
      </c>
      <c r="F32" s="2">
        <v>6</v>
      </c>
      <c r="G32" s="2">
        <v>3600</v>
      </c>
      <c r="H32" s="2">
        <v>0</v>
      </c>
      <c r="I32" s="2">
        <v>79</v>
      </c>
      <c r="J32" s="3">
        <v>14</v>
      </c>
      <c r="K32" s="22">
        <f t="shared" si="0"/>
        <v>0.14285714285714285</v>
      </c>
      <c r="L32" s="5">
        <f>AVERAGE(G23:G32)</f>
        <v>1704.9859000000001</v>
      </c>
      <c r="M32" s="22">
        <f t="shared" ref="M32" si="2">1-COUNTBLANK(E23:E32)/10</f>
        <v>1</v>
      </c>
      <c r="N32" s="22">
        <f>AVERAGE(K23:K32)</f>
        <v>4.2857142857142858E-2</v>
      </c>
      <c r="O32" s="2" cm="1">
        <f t="array" ref="O32">SUMPRODUCT(E23:E32-F23:F32)/10</f>
        <v>0.3</v>
      </c>
    </row>
    <row r="33" spans="1:15" x14ac:dyDescent="0.3">
      <c r="A33">
        <v>200</v>
      </c>
      <c r="B33">
        <v>25</v>
      </c>
      <c r="C33" s="1">
        <v>10</v>
      </c>
      <c r="D33">
        <v>1.1499999999999999</v>
      </c>
      <c r="E33">
        <v>3</v>
      </c>
      <c r="F33">
        <v>2</v>
      </c>
      <c r="G33">
        <v>3600</v>
      </c>
      <c r="H33">
        <v>1</v>
      </c>
      <c r="I33">
        <v>10</v>
      </c>
      <c r="J33" s="1">
        <v>5</v>
      </c>
      <c r="K33" s="21">
        <f t="shared" si="0"/>
        <v>0.33333333333333331</v>
      </c>
      <c r="N33" s="21"/>
    </row>
    <row r="34" spans="1:15" x14ac:dyDescent="0.3">
      <c r="A34">
        <v>200</v>
      </c>
      <c r="B34">
        <v>25</v>
      </c>
      <c r="C34" s="1">
        <v>20</v>
      </c>
      <c r="D34">
        <v>1.1499999999999999</v>
      </c>
      <c r="E34">
        <v>2</v>
      </c>
      <c r="F34">
        <v>2</v>
      </c>
      <c r="G34">
        <v>5.0640000000000001</v>
      </c>
      <c r="H34">
        <v>0</v>
      </c>
      <c r="I34">
        <v>0</v>
      </c>
      <c r="J34" s="1">
        <v>1</v>
      </c>
      <c r="K34" s="21">
        <f t="shared" si="0"/>
        <v>0</v>
      </c>
      <c r="N34" s="21"/>
    </row>
    <row r="35" spans="1:15" x14ac:dyDescent="0.3">
      <c r="A35">
        <v>200</v>
      </c>
      <c r="B35">
        <v>25</v>
      </c>
      <c r="C35" s="1">
        <v>30</v>
      </c>
      <c r="D35">
        <v>1.1499999999999999</v>
      </c>
      <c r="E35">
        <v>1</v>
      </c>
      <c r="F35">
        <v>1</v>
      </c>
      <c r="G35">
        <v>64.325000000000003</v>
      </c>
      <c r="H35">
        <v>0</v>
      </c>
      <c r="I35">
        <v>5</v>
      </c>
      <c r="J35" s="1">
        <v>5</v>
      </c>
      <c r="K35" s="21">
        <f t="shared" si="0"/>
        <v>0</v>
      </c>
      <c r="N35" s="21"/>
    </row>
    <row r="36" spans="1:15" x14ac:dyDescent="0.3">
      <c r="A36">
        <v>200</v>
      </c>
      <c r="B36">
        <v>25</v>
      </c>
      <c r="C36" s="1">
        <v>40</v>
      </c>
      <c r="D36">
        <v>1.1499999999999999</v>
      </c>
      <c r="E36">
        <v>1</v>
      </c>
      <c r="F36">
        <v>1</v>
      </c>
      <c r="G36">
        <v>1.0840000000000001</v>
      </c>
      <c r="H36">
        <v>0</v>
      </c>
      <c r="I36">
        <v>0</v>
      </c>
      <c r="J36" s="1">
        <v>1</v>
      </c>
      <c r="K36" s="21">
        <f t="shared" si="0"/>
        <v>0</v>
      </c>
      <c r="N36" s="21"/>
    </row>
    <row r="37" spans="1:15" x14ac:dyDescent="0.3">
      <c r="A37">
        <v>200</v>
      </c>
      <c r="B37">
        <v>25</v>
      </c>
      <c r="C37" s="1">
        <v>50</v>
      </c>
      <c r="D37">
        <v>1.1499999999999999</v>
      </c>
      <c r="E37">
        <v>1</v>
      </c>
      <c r="F37">
        <v>1</v>
      </c>
      <c r="G37">
        <v>0.61599999999999999</v>
      </c>
      <c r="H37">
        <v>0</v>
      </c>
      <c r="I37">
        <v>0</v>
      </c>
      <c r="J37" s="1">
        <v>1</v>
      </c>
      <c r="K37" s="21">
        <f t="shared" si="0"/>
        <v>0</v>
      </c>
      <c r="N37" s="21"/>
    </row>
    <row r="38" spans="1:15" x14ac:dyDescent="0.3">
      <c r="A38">
        <v>200</v>
      </c>
      <c r="B38">
        <v>25</v>
      </c>
      <c r="C38" s="1">
        <v>60</v>
      </c>
      <c r="D38">
        <v>1.1499999999999999</v>
      </c>
      <c r="E38">
        <v>3</v>
      </c>
      <c r="F38">
        <v>2</v>
      </c>
      <c r="G38">
        <v>3600</v>
      </c>
      <c r="H38">
        <v>1</v>
      </c>
      <c r="I38">
        <v>4</v>
      </c>
      <c r="J38" s="1">
        <v>4</v>
      </c>
      <c r="K38" s="21">
        <f t="shared" si="0"/>
        <v>0.33333333333333331</v>
      </c>
      <c r="N38" s="21"/>
    </row>
    <row r="39" spans="1:15" x14ac:dyDescent="0.3">
      <c r="A39">
        <v>200</v>
      </c>
      <c r="B39">
        <v>25</v>
      </c>
      <c r="C39" s="1">
        <v>70</v>
      </c>
      <c r="D39">
        <v>1.1499999999999999</v>
      </c>
      <c r="E39">
        <v>1</v>
      </c>
      <c r="F39">
        <v>1</v>
      </c>
      <c r="G39">
        <v>0.57099999999999995</v>
      </c>
      <c r="H39">
        <v>0</v>
      </c>
      <c r="I39">
        <v>0</v>
      </c>
      <c r="J39" s="1">
        <v>1</v>
      </c>
      <c r="K39" s="21">
        <f t="shared" si="0"/>
        <v>0</v>
      </c>
      <c r="N39" s="21"/>
    </row>
    <row r="40" spans="1:15" x14ac:dyDescent="0.3">
      <c r="A40">
        <v>200</v>
      </c>
      <c r="B40">
        <v>25</v>
      </c>
      <c r="C40" s="1">
        <v>80</v>
      </c>
      <c r="D40">
        <v>1.1499999999999999</v>
      </c>
      <c r="E40">
        <v>1</v>
      </c>
      <c r="F40">
        <v>1</v>
      </c>
      <c r="G40">
        <v>0.54200000000000004</v>
      </c>
      <c r="H40">
        <v>0</v>
      </c>
      <c r="I40">
        <v>0</v>
      </c>
      <c r="J40" s="1">
        <v>1</v>
      </c>
      <c r="K40" s="21">
        <f t="shared" si="0"/>
        <v>0</v>
      </c>
      <c r="N40" s="21"/>
    </row>
    <row r="41" spans="1:15" x14ac:dyDescent="0.3">
      <c r="A41">
        <v>200</v>
      </c>
      <c r="B41">
        <v>25</v>
      </c>
      <c r="C41" s="1">
        <v>90</v>
      </c>
      <c r="D41">
        <v>1.1499999999999999</v>
      </c>
      <c r="E41">
        <v>1</v>
      </c>
      <c r="F41">
        <v>1</v>
      </c>
      <c r="G41">
        <v>11.24</v>
      </c>
      <c r="H41">
        <v>0</v>
      </c>
      <c r="I41">
        <v>2</v>
      </c>
      <c r="J41" s="1">
        <v>1</v>
      </c>
      <c r="K41" s="21">
        <f t="shared" si="0"/>
        <v>0</v>
      </c>
      <c r="N41" s="21"/>
    </row>
    <row r="42" spans="1:15" s="2" customFormat="1" x14ac:dyDescent="0.3">
      <c r="A42" s="2">
        <v>200</v>
      </c>
      <c r="B42" s="2">
        <v>25</v>
      </c>
      <c r="C42" s="3">
        <v>100</v>
      </c>
      <c r="D42" s="2">
        <v>1.1499999999999999</v>
      </c>
      <c r="E42" s="2">
        <v>2</v>
      </c>
      <c r="F42" s="2">
        <v>2</v>
      </c>
      <c r="G42" s="2">
        <v>25.54</v>
      </c>
      <c r="H42" s="2">
        <v>0</v>
      </c>
      <c r="I42" s="2">
        <v>22</v>
      </c>
      <c r="J42" s="3">
        <v>3</v>
      </c>
      <c r="K42" s="22">
        <f t="shared" si="0"/>
        <v>0</v>
      </c>
      <c r="L42" s="5">
        <f>AVERAGE(G33:G42)</f>
        <v>730.89819999999997</v>
      </c>
      <c r="M42" s="22">
        <f t="shared" ref="M42" si="3">1-COUNTBLANK(E33:E42)/10</f>
        <v>1</v>
      </c>
      <c r="N42" s="22">
        <f>AVERAGE(K33:K42)</f>
        <v>6.6666666666666666E-2</v>
      </c>
      <c r="O42" s="2" cm="1">
        <f t="array" ref="O42">SUMPRODUCT(E33:E42-F33:F42)/10</f>
        <v>0.2</v>
      </c>
    </row>
    <row r="43" spans="1:15" s="7" customFormat="1" x14ac:dyDescent="0.3">
      <c r="A43"/>
      <c r="B43"/>
      <c r="C43" s="1"/>
      <c r="D43"/>
      <c r="E43"/>
      <c r="F43"/>
      <c r="G43"/>
      <c r="H43"/>
      <c r="I43"/>
      <c r="J43" s="1"/>
      <c r="K43" t="str">
        <f t="shared" ref="K43:K82" si="4">IF(ISBLANK(E43),IF(ISBLANK(F43),"",100), IF(E43+F43=0, 0, IF(G43=3600, IF(E43=F43,1,(E43-F43)/E43*100), 0)))</f>
        <v/>
      </c>
      <c r="L43" s="4"/>
      <c r="M43" s="21"/>
    </row>
    <row r="44" spans="1:15" s="7" customFormat="1" x14ac:dyDescent="0.3">
      <c r="A44"/>
      <c r="B44"/>
      <c r="C44" s="1"/>
      <c r="D44"/>
      <c r="E44"/>
      <c r="F44"/>
      <c r="G44"/>
      <c r="H44"/>
      <c r="I44"/>
      <c r="J44" s="1"/>
      <c r="K44" t="str">
        <f t="shared" si="4"/>
        <v/>
      </c>
      <c r="L44" s="4"/>
      <c r="M44" s="21"/>
    </row>
    <row r="45" spans="1:15" s="7" customFormat="1" x14ac:dyDescent="0.3">
      <c r="A45"/>
      <c r="B45"/>
      <c r="C45" s="1"/>
      <c r="D45"/>
      <c r="E45"/>
      <c r="F45"/>
      <c r="G45"/>
      <c r="H45"/>
      <c r="I45"/>
      <c r="J45" s="1"/>
      <c r="K45" t="str">
        <f t="shared" si="4"/>
        <v/>
      </c>
      <c r="L45" s="4"/>
      <c r="M45" s="21"/>
    </row>
    <row r="46" spans="1:15" s="7" customFormat="1" x14ac:dyDescent="0.3">
      <c r="A46"/>
      <c r="B46"/>
      <c r="C46" s="1"/>
      <c r="D46"/>
      <c r="E46"/>
      <c r="F46"/>
      <c r="G46"/>
      <c r="H46"/>
      <c r="I46"/>
      <c r="J46" s="1"/>
      <c r="K46" t="str">
        <f t="shared" si="4"/>
        <v/>
      </c>
      <c r="L46" s="4"/>
      <c r="M46" s="21"/>
    </row>
    <row r="47" spans="1:15" s="7" customFormat="1" x14ac:dyDescent="0.3">
      <c r="A47"/>
      <c r="B47"/>
      <c r="C47" s="1"/>
      <c r="D47"/>
      <c r="E47"/>
      <c r="F47"/>
      <c r="G47"/>
      <c r="H47"/>
      <c r="I47"/>
      <c r="J47" s="1"/>
      <c r="K47" t="str">
        <f t="shared" si="4"/>
        <v/>
      </c>
      <c r="L47" s="4"/>
      <c r="M47" s="21"/>
    </row>
    <row r="48" spans="1:15" s="7" customFormat="1" x14ac:dyDescent="0.3">
      <c r="A48"/>
      <c r="B48"/>
      <c r="C48" s="1"/>
      <c r="D48"/>
      <c r="E48"/>
      <c r="F48"/>
      <c r="G48"/>
      <c r="H48"/>
      <c r="I48"/>
      <c r="J48" s="1"/>
      <c r="K48" t="str">
        <f t="shared" si="4"/>
        <v/>
      </c>
      <c r="L48" s="4"/>
      <c r="M48" s="21"/>
    </row>
    <row r="49" spans="1:13" s="7" customFormat="1" x14ac:dyDescent="0.3">
      <c r="A49"/>
      <c r="B49"/>
      <c r="C49" s="1"/>
      <c r="D49"/>
      <c r="E49"/>
      <c r="F49"/>
      <c r="G49"/>
      <c r="H49"/>
      <c r="I49"/>
      <c r="J49" s="1"/>
      <c r="K49" t="str">
        <f t="shared" si="4"/>
        <v/>
      </c>
      <c r="L49" s="4"/>
      <c r="M49" s="21"/>
    </row>
    <row r="50" spans="1:13" s="7" customFormat="1" x14ac:dyDescent="0.3">
      <c r="A50"/>
      <c r="B50"/>
      <c r="C50" s="1"/>
      <c r="D50"/>
      <c r="E50"/>
      <c r="F50"/>
      <c r="G50"/>
      <c r="H50"/>
      <c r="I50"/>
      <c r="J50" s="1"/>
      <c r="K50" t="str">
        <f t="shared" si="4"/>
        <v/>
      </c>
      <c r="L50" s="4"/>
      <c r="M50" s="21"/>
    </row>
    <row r="51" spans="1:13" s="7" customFormat="1" x14ac:dyDescent="0.3">
      <c r="A51"/>
      <c r="B51"/>
      <c r="C51" s="1"/>
      <c r="D51"/>
      <c r="E51"/>
      <c r="F51"/>
      <c r="G51"/>
      <c r="H51"/>
      <c r="I51"/>
      <c r="J51" s="1"/>
      <c r="K51" t="str">
        <f t="shared" si="4"/>
        <v/>
      </c>
      <c r="L51" s="4"/>
      <c r="M51" s="21"/>
    </row>
    <row r="52" spans="1:13" s="2" customFormat="1" x14ac:dyDescent="0.3">
      <c r="C52" s="3"/>
      <c r="J52" s="3"/>
      <c r="K52" s="2" t="str">
        <f t="shared" si="4"/>
        <v/>
      </c>
      <c r="L52" s="5" t="e">
        <f>AVERAGE(G43:G52)</f>
        <v>#DIV/0!</v>
      </c>
      <c r="M52" s="22"/>
    </row>
    <row r="53" spans="1:13" s="7" customFormat="1" x14ac:dyDescent="0.3">
      <c r="A53"/>
      <c r="B53"/>
      <c r="C53" s="1"/>
      <c r="D53"/>
      <c r="E53"/>
      <c r="F53"/>
      <c r="G53"/>
      <c r="H53"/>
      <c r="I53"/>
      <c r="J53" s="1"/>
      <c r="K53" t="str">
        <f t="shared" si="4"/>
        <v/>
      </c>
      <c r="L53" s="4"/>
      <c r="M53" s="21"/>
    </row>
    <row r="54" spans="1:13" s="7" customFormat="1" x14ac:dyDescent="0.3">
      <c r="A54"/>
      <c r="B54"/>
      <c r="C54" s="1"/>
      <c r="D54"/>
      <c r="E54"/>
      <c r="F54"/>
      <c r="G54"/>
      <c r="H54"/>
      <c r="I54"/>
      <c r="J54" s="1"/>
      <c r="K54" t="str">
        <f t="shared" si="4"/>
        <v/>
      </c>
      <c r="L54" s="4"/>
      <c r="M54" s="21"/>
    </row>
    <row r="55" spans="1:13" s="7" customFormat="1" x14ac:dyDescent="0.3">
      <c r="A55"/>
      <c r="B55"/>
      <c r="C55" s="1"/>
      <c r="D55"/>
      <c r="E55"/>
      <c r="F55"/>
      <c r="G55"/>
      <c r="H55"/>
      <c r="I55"/>
      <c r="J55" s="1"/>
      <c r="K55" t="str">
        <f t="shared" si="4"/>
        <v/>
      </c>
      <c r="L55" s="4"/>
      <c r="M55" s="21"/>
    </row>
    <row r="56" spans="1:13" s="7" customFormat="1" x14ac:dyDescent="0.3">
      <c r="A56"/>
      <c r="B56"/>
      <c r="C56" s="1"/>
      <c r="D56"/>
      <c r="E56"/>
      <c r="F56"/>
      <c r="G56"/>
      <c r="H56"/>
      <c r="I56"/>
      <c r="J56" s="1"/>
      <c r="K56" t="str">
        <f t="shared" si="4"/>
        <v/>
      </c>
      <c r="L56" s="4"/>
      <c r="M56" s="21"/>
    </row>
    <row r="57" spans="1:13" s="7" customFormat="1" x14ac:dyDescent="0.3">
      <c r="A57"/>
      <c r="B57"/>
      <c r="C57" s="1"/>
      <c r="D57"/>
      <c r="E57"/>
      <c r="F57"/>
      <c r="G57"/>
      <c r="H57"/>
      <c r="I57"/>
      <c r="J57" s="1"/>
      <c r="K57" t="str">
        <f t="shared" si="4"/>
        <v/>
      </c>
      <c r="L57" s="4"/>
      <c r="M57" s="21"/>
    </row>
    <row r="58" spans="1:13" s="7" customFormat="1" x14ac:dyDescent="0.3">
      <c r="A58"/>
      <c r="B58"/>
      <c r="C58" s="1"/>
      <c r="D58"/>
      <c r="E58"/>
      <c r="F58"/>
      <c r="G58"/>
      <c r="H58"/>
      <c r="I58"/>
      <c r="J58" s="1"/>
      <c r="K58" t="str">
        <f t="shared" si="4"/>
        <v/>
      </c>
      <c r="L58" s="4"/>
      <c r="M58" s="21"/>
    </row>
    <row r="59" spans="1:13" s="7" customFormat="1" x14ac:dyDescent="0.3">
      <c r="A59"/>
      <c r="B59"/>
      <c r="C59" s="1"/>
      <c r="D59"/>
      <c r="E59"/>
      <c r="F59"/>
      <c r="G59"/>
      <c r="H59"/>
      <c r="I59"/>
      <c r="J59" s="1"/>
      <c r="K59" t="str">
        <f t="shared" si="4"/>
        <v/>
      </c>
      <c r="L59" s="4"/>
      <c r="M59" s="21"/>
    </row>
    <row r="60" spans="1:13" s="7" customFormat="1" x14ac:dyDescent="0.3">
      <c r="A60"/>
      <c r="B60"/>
      <c r="C60" s="1"/>
      <c r="D60"/>
      <c r="E60"/>
      <c r="F60"/>
      <c r="G60"/>
      <c r="H60"/>
      <c r="I60"/>
      <c r="J60" s="1"/>
      <c r="K60" t="str">
        <f t="shared" si="4"/>
        <v/>
      </c>
      <c r="L60" s="4"/>
      <c r="M60" s="21"/>
    </row>
    <row r="61" spans="1:13" s="7" customFormat="1" x14ac:dyDescent="0.3">
      <c r="A61"/>
      <c r="B61"/>
      <c r="C61" s="1"/>
      <c r="D61"/>
      <c r="E61"/>
      <c r="F61"/>
      <c r="G61"/>
      <c r="H61"/>
      <c r="I61"/>
      <c r="J61" s="1"/>
      <c r="K61" t="str">
        <f t="shared" si="4"/>
        <v/>
      </c>
      <c r="L61" s="4"/>
      <c r="M61" s="21"/>
    </row>
    <row r="62" spans="1:13" s="2" customFormat="1" x14ac:dyDescent="0.3">
      <c r="C62" s="3"/>
      <c r="J62" s="3"/>
      <c r="K62" s="2" t="str">
        <f t="shared" si="4"/>
        <v/>
      </c>
      <c r="L62" s="5" t="e">
        <f>AVERAGE(G53:G62)</f>
        <v>#DIV/0!</v>
      </c>
      <c r="M62" s="22"/>
    </row>
    <row r="63" spans="1:13" s="7" customFormat="1" x14ac:dyDescent="0.3">
      <c r="A63"/>
      <c r="B63"/>
      <c r="C63" s="1"/>
      <c r="D63"/>
      <c r="E63"/>
      <c r="F63"/>
      <c r="G63"/>
      <c r="H63"/>
      <c r="I63"/>
      <c r="J63" s="1"/>
      <c r="K63" t="str">
        <f t="shared" si="4"/>
        <v/>
      </c>
      <c r="L63" s="4"/>
      <c r="M63" s="21"/>
    </row>
    <row r="64" spans="1:13" s="7" customFormat="1" x14ac:dyDescent="0.3">
      <c r="A64"/>
      <c r="B64"/>
      <c r="C64" s="1"/>
      <c r="D64"/>
      <c r="E64"/>
      <c r="F64"/>
      <c r="G64"/>
      <c r="H64"/>
      <c r="I64"/>
      <c r="J64" s="1"/>
      <c r="K64" t="str">
        <f t="shared" si="4"/>
        <v/>
      </c>
      <c r="L64" s="4"/>
      <c r="M64" s="21"/>
    </row>
    <row r="65" spans="1:13" s="7" customFormat="1" x14ac:dyDescent="0.3">
      <c r="A65"/>
      <c r="B65"/>
      <c r="C65" s="1"/>
      <c r="D65"/>
      <c r="E65"/>
      <c r="F65"/>
      <c r="G65"/>
      <c r="H65"/>
      <c r="I65"/>
      <c r="J65" s="1"/>
      <c r="K65" t="str">
        <f t="shared" si="4"/>
        <v/>
      </c>
      <c r="L65" s="4"/>
      <c r="M65" s="21"/>
    </row>
    <row r="66" spans="1:13" s="7" customFormat="1" x14ac:dyDescent="0.3">
      <c r="A66"/>
      <c r="B66"/>
      <c r="C66" s="1"/>
      <c r="D66"/>
      <c r="E66"/>
      <c r="F66"/>
      <c r="G66"/>
      <c r="H66"/>
      <c r="I66"/>
      <c r="J66" s="1"/>
      <c r="K66" t="str">
        <f t="shared" si="4"/>
        <v/>
      </c>
      <c r="L66" s="4"/>
      <c r="M66" s="21"/>
    </row>
    <row r="67" spans="1:13" s="7" customFormat="1" x14ac:dyDescent="0.3">
      <c r="A67"/>
      <c r="B67"/>
      <c r="C67" s="1"/>
      <c r="D67"/>
      <c r="E67"/>
      <c r="F67"/>
      <c r="G67"/>
      <c r="H67"/>
      <c r="I67"/>
      <c r="J67" s="1"/>
      <c r="K67" t="str">
        <f t="shared" si="4"/>
        <v/>
      </c>
      <c r="L67" s="4"/>
      <c r="M67" s="21"/>
    </row>
    <row r="68" spans="1:13" s="7" customFormat="1" x14ac:dyDescent="0.3">
      <c r="A68"/>
      <c r="B68"/>
      <c r="C68" s="1"/>
      <c r="D68"/>
      <c r="E68"/>
      <c r="F68"/>
      <c r="G68"/>
      <c r="H68"/>
      <c r="I68"/>
      <c r="J68" s="1"/>
      <c r="K68" t="str">
        <f t="shared" si="4"/>
        <v/>
      </c>
      <c r="L68" s="4"/>
      <c r="M68" s="21"/>
    </row>
    <row r="69" spans="1:13" s="7" customFormat="1" x14ac:dyDescent="0.3">
      <c r="A69"/>
      <c r="B69"/>
      <c r="C69" s="1"/>
      <c r="D69"/>
      <c r="E69"/>
      <c r="F69"/>
      <c r="G69"/>
      <c r="H69"/>
      <c r="I69"/>
      <c r="J69" s="1"/>
      <c r="K69" t="str">
        <f t="shared" si="4"/>
        <v/>
      </c>
      <c r="L69" s="4"/>
      <c r="M69" s="21"/>
    </row>
    <row r="70" spans="1:13" s="7" customFormat="1" x14ac:dyDescent="0.3">
      <c r="A70"/>
      <c r="B70"/>
      <c r="C70" s="1"/>
      <c r="D70"/>
      <c r="E70"/>
      <c r="F70"/>
      <c r="G70"/>
      <c r="H70"/>
      <c r="I70"/>
      <c r="J70" s="1"/>
      <c r="K70" t="str">
        <f t="shared" si="4"/>
        <v/>
      </c>
      <c r="L70" s="4"/>
      <c r="M70" s="21"/>
    </row>
    <row r="71" spans="1:13" s="7" customFormat="1" x14ac:dyDescent="0.3">
      <c r="A71"/>
      <c r="B71"/>
      <c r="C71" s="1"/>
      <c r="D71"/>
      <c r="E71"/>
      <c r="F71"/>
      <c r="G71"/>
      <c r="H71"/>
      <c r="I71"/>
      <c r="J71" s="1"/>
      <c r="K71" t="str">
        <f t="shared" si="4"/>
        <v/>
      </c>
      <c r="L71" s="4"/>
      <c r="M71" s="21"/>
    </row>
    <row r="72" spans="1:13" s="2" customFormat="1" x14ac:dyDescent="0.3">
      <c r="C72" s="3"/>
      <c r="J72" s="3"/>
      <c r="K72" s="2" t="str">
        <f t="shared" si="4"/>
        <v/>
      </c>
      <c r="L72" s="5" t="e">
        <f>AVERAGE(G63:G72)</f>
        <v>#DIV/0!</v>
      </c>
      <c r="M72" s="22"/>
    </row>
    <row r="73" spans="1:13" s="7" customFormat="1" x14ac:dyDescent="0.3">
      <c r="A73"/>
      <c r="B73"/>
      <c r="C73" s="1"/>
      <c r="D73"/>
      <c r="E73"/>
      <c r="F73"/>
      <c r="G73"/>
      <c r="H73"/>
      <c r="I73"/>
      <c r="J73" s="1"/>
      <c r="K73" t="str">
        <f t="shared" si="4"/>
        <v/>
      </c>
      <c r="L73" s="4"/>
      <c r="M73" s="21"/>
    </row>
    <row r="74" spans="1:13" s="7" customFormat="1" x14ac:dyDescent="0.3">
      <c r="A74"/>
      <c r="B74"/>
      <c r="C74" s="1"/>
      <c r="D74"/>
      <c r="E74"/>
      <c r="F74"/>
      <c r="G74"/>
      <c r="H74"/>
      <c r="I74"/>
      <c r="J74" s="1"/>
      <c r="K74" t="str">
        <f t="shared" si="4"/>
        <v/>
      </c>
      <c r="L74" s="4"/>
      <c r="M74" s="21"/>
    </row>
    <row r="75" spans="1:13" s="7" customFormat="1" x14ac:dyDescent="0.3">
      <c r="A75"/>
      <c r="B75"/>
      <c r="C75" s="1"/>
      <c r="D75"/>
      <c r="E75"/>
      <c r="F75"/>
      <c r="G75"/>
      <c r="H75"/>
      <c r="I75"/>
      <c r="J75" s="1"/>
      <c r="K75" t="str">
        <f t="shared" si="4"/>
        <v/>
      </c>
      <c r="L75" s="4"/>
      <c r="M75" s="21"/>
    </row>
    <row r="76" spans="1:13" s="7" customFormat="1" x14ac:dyDescent="0.3">
      <c r="A76"/>
      <c r="B76"/>
      <c r="C76" s="1"/>
      <c r="D76"/>
      <c r="E76"/>
      <c r="F76"/>
      <c r="G76"/>
      <c r="H76"/>
      <c r="I76"/>
      <c r="J76" s="1"/>
      <c r="K76" t="str">
        <f t="shared" si="4"/>
        <v/>
      </c>
      <c r="L76" s="4"/>
      <c r="M76" s="21"/>
    </row>
    <row r="77" spans="1:13" s="7" customFormat="1" x14ac:dyDescent="0.3">
      <c r="A77"/>
      <c r="B77"/>
      <c r="C77" s="1"/>
      <c r="D77"/>
      <c r="E77"/>
      <c r="F77"/>
      <c r="G77"/>
      <c r="H77"/>
      <c r="I77"/>
      <c r="J77" s="1"/>
      <c r="K77" t="str">
        <f t="shared" si="4"/>
        <v/>
      </c>
      <c r="L77" s="4"/>
      <c r="M77" s="21"/>
    </row>
    <row r="78" spans="1:13" s="7" customFormat="1" x14ac:dyDescent="0.3">
      <c r="A78"/>
      <c r="B78"/>
      <c r="C78" s="1"/>
      <c r="D78"/>
      <c r="E78"/>
      <c r="F78"/>
      <c r="G78"/>
      <c r="H78"/>
      <c r="I78"/>
      <c r="J78" s="1"/>
      <c r="K78" t="str">
        <f t="shared" si="4"/>
        <v/>
      </c>
      <c r="L78" s="4"/>
      <c r="M78" s="21"/>
    </row>
    <row r="79" spans="1:13" s="7" customFormat="1" x14ac:dyDescent="0.3">
      <c r="A79"/>
      <c r="B79"/>
      <c r="C79" s="1"/>
      <c r="D79"/>
      <c r="E79"/>
      <c r="F79"/>
      <c r="G79"/>
      <c r="H79"/>
      <c r="I79"/>
      <c r="J79" s="1"/>
      <c r="K79" t="str">
        <f t="shared" si="4"/>
        <v/>
      </c>
      <c r="L79" s="4"/>
      <c r="M79" s="21"/>
    </row>
    <row r="80" spans="1:13" s="7" customFormat="1" x14ac:dyDescent="0.3">
      <c r="A80"/>
      <c r="B80"/>
      <c r="C80" s="1"/>
      <c r="D80"/>
      <c r="E80"/>
      <c r="F80"/>
      <c r="G80"/>
      <c r="H80"/>
      <c r="I80"/>
      <c r="J80" s="1"/>
      <c r="K80" t="str">
        <f t="shared" si="4"/>
        <v/>
      </c>
      <c r="L80" s="4"/>
      <c r="M80" s="21"/>
    </row>
    <row r="81" spans="1:13" s="7" customFormat="1" x14ac:dyDescent="0.3">
      <c r="A81"/>
      <c r="B81"/>
      <c r="C81" s="1"/>
      <c r="D81"/>
      <c r="E81"/>
      <c r="F81"/>
      <c r="G81"/>
      <c r="H81"/>
      <c r="I81"/>
      <c r="J81" s="1"/>
      <c r="K81" t="str">
        <f t="shared" si="4"/>
        <v/>
      </c>
      <c r="L81" s="4"/>
      <c r="M81" s="21"/>
    </row>
    <row r="82" spans="1:13" s="2" customFormat="1" x14ac:dyDescent="0.3">
      <c r="C82" s="3"/>
      <c r="J82" s="3"/>
      <c r="K82" s="2" t="str">
        <f t="shared" si="4"/>
        <v/>
      </c>
      <c r="L82" s="5" t="e">
        <f>AVERAGE(G73:G82)</f>
        <v>#DIV/0!</v>
      </c>
      <c r="M82" s="22"/>
    </row>
    <row r="83" spans="1:13" s="7" customFormat="1" x14ac:dyDescent="0.3">
      <c r="A83"/>
      <c r="B83"/>
      <c r="C83"/>
      <c r="D83">
        <f>AVERAGE(D3:D82)</f>
        <v>1.149999999999999</v>
      </c>
      <c r="E83">
        <f>AVERAGE(E3:E82)</f>
        <v>2.0750000000000002</v>
      </c>
      <c r="F83">
        <f>AVERAGE(F3:F82)</f>
        <v>1.85</v>
      </c>
      <c r="G83">
        <f>AVERAGE(G3:G82)</f>
        <v>879.17935000000011</v>
      </c>
      <c r="H83">
        <f>SUM(H3:H82)</f>
        <v>174</v>
      </c>
      <c r="I83">
        <f>SUM(I3:I82)</f>
        <v>1460</v>
      </c>
      <c r="J83">
        <f>SUM(J3:J82)</f>
        <v>164</v>
      </c>
      <c r="K83">
        <f>COUNTIF(K3:K82,"&gt;0")</f>
        <v>8</v>
      </c>
      <c r="L83" s="4"/>
      <c r="M83" s="21"/>
    </row>
    <row r="163" spans="1:13" s="7" customFormat="1" x14ac:dyDescent="0.3">
      <c r="A163"/>
      <c r="B163"/>
      <c r="C163"/>
      <c r="D163" s="6">
        <f>AVERAGE(D12:D82)</f>
        <v>1.1499999999999992</v>
      </c>
      <c r="E163">
        <f>SUM(E12:E82)</f>
        <v>82</v>
      </c>
      <c r="F163">
        <f>SUM(F12:F82)</f>
        <v>74</v>
      </c>
      <c r="G163"/>
      <c r="H163"/>
      <c r="I163"/>
      <c r="J163"/>
      <c r="K163">
        <f>COUNTIF(K12:K82,"&gt;0")</f>
        <v>7</v>
      </c>
      <c r="L163" s="4" t="e">
        <f>AVERAGE(L12:L82)</f>
        <v>#DIV/0!</v>
      </c>
      <c r="M163" s="21"/>
    </row>
  </sheetData>
  <autoFilter ref="L1:L163" xr:uid="{3BDC2A91-F62C-482F-8F5A-8E214630FF7D}"/>
  <phoneticPr fontId="1" type="noConversion"/>
  <conditionalFormatting sqref="K2:K82">
    <cfRule type="containsText" dxfId="51" priority="3" operator="containsText" text="FALSE">
      <formula>NOT(ISERROR(SEARCH("FALSE",K2)))</formula>
    </cfRule>
  </conditionalFormatting>
  <conditionalFormatting sqref="M1 M83:M162">
    <cfRule type="containsText" dxfId="50" priority="2" operator="containsText" text="false">
      <formula>NOT(ISERROR(SEARCH("false",M1)))</formula>
    </cfRule>
  </conditionalFormatting>
  <conditionalFormatting sqref="N43:N82">
    <cfRule type="containsText" dxfId="49" priority="1" operator="containsText" text="FALSE">
      <formula>NOT(ISERROR(SEARCH("FALSE",N43)))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8283-7238-413E-89DE-67FE9A4CD864}">
  <dimension ref="A1:M323"/>
  <sheetViews>
    <sheetView topLeftCell="A130" zoomScale="85" zoomScaleNormal="85" workbookViewId="0">
      <selection activeCell="I168" sqref="I168"/>
    </sheetView>
  </sheetViews>
  <sheetFormatPr defaultRowHeight="16.5" x14ac:dyDescent="0.3"/>
  <cols>
    <col min="1" max="1" width="8.875" bestFit="1" customWidth="1"/>
    <col min="2" max="2" width="13.75" bestFit="1" customWidth="1"/>
    <col min="5" max="5" width="14.75" bestFit="1" customWidth="1"/>
    <col min="6" max="6" width="12.625" bestFit="1" customWidth="1"/>
    <col min="7" max="7" width="9.75" bestFit="1" customWidth="1"/>
    <col min="8" max="8" width="15.125" bestFit="1" customWidth="1"/>
    <col min="9" max="9" width="14.125" bestFit="1" customWidth="1"/>
    <col min="10" max="10" width="13.625" bestFit="1" customWidth="1"/>
    <col min="11" max="11" width="9.125" style="4" bestFit="1" customWidth="1"/>
    <col min="13" max="13" width="9" style="7"/>
  </cols>
  <sheetData>
    <row r="1" spans="1:13" s="13" customFormat="1" x14ac:dyDescent="0.3">
      <c r="C1" s="12"/>
      <c r="D1" s="13" t="s">
        <v>18</v>
      </c>
      <c r="J1" s="12"/>
      <c r="K1" s="11"/>
      <c r="M1" s="10"/>
    </row>
    <row r="2" spans="1:13" s="9" customFormat="1" x14ac:dyDescent="0.3">
      <c r="A2" s="9" t="s">
        <v>8</v>
      </c>
      <c r="B2" s="9" t="s">
        <v>9</v>
      </c>
      <c r="C2" s="17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17" t="s">
        <v>17</v>
      </c>
      <c r="K2" s="15" t="s">
        <v>4</v>
      </c>
      <c r="L2" s="9" t="s">
        <v>5</v>
      </c>
    </row>
    <row r="3" spans="1:13" x14ac:dyDescent="0.3">
      <c r="A3">
        <v>30</v>
      </c>
      <c r="B3">
        <v>2</v>
      </c>
      <c r="C3" s="1">
        <v>10</v>
      </c>
      <c r="D3">
        <v>1.1499999999999999</v>
      </c>
      <c r="E3">
        <v>2</v>
      </c>
      <c r="F3">
        <v>2</v>
      </c>
      <c r="G3">
        <v>0.105</v>
      </c>
      <c r="H3">
        <v>0</v>
      </c>
      <c r="I3">
        <v>0</v>
      </c>
      <c r="J3" s="1">
        <v>1</v>
      </c>
      <c r="L3">
        <f t="shared" ref="L3:L66" si="0">IF(ISBLANK(E3),IF(ISBLANK(F3),"",100), IF(E3+F3=0, 0, IF(G3=3600, IF(E3=F3,1,(E3-F3)/E3*100), 0)))</f>
        <v>0</v>
      </c>
    </row>
    <row r="4" spans="1:13" x14ac:dyDescent="0.3">
      <c r="A4">
        <v>30</v>
      </c>
      <c r="B4">
        <v>2</v>
      </c>
      <c r="C4" s="1">
        <v>20</v>
      </c>
      <c r="D4">
        <v>1.1499999999999999</v>
      </c>
      <c r="F4">
        <v>2</v>
      </c>
      <c r="G4">
        <v>3600</v>
      </c>
      <c r="H4">
        <v>0</v>
      </c>
      <c r="I4">
        <v>0</v>
      </c>
      <c r="J4" s="1">
        <v>2</v>
      </c>
      <c r="L4">
        <f t="shared" si="0"/>
        <v>100</v>
      </c>
    </row>
    <row r="5" spans="1:13" x14ac:dyDescent="0.3">
      <c r="A5">
        <v>30</v>
      </c>
      <c r="B5">
        <v>2</v>
      </c>
      <c r="C5" s="1">
        <v>30</v>
      </c>
      <c r="D5">
        <v>1.1499999999999999</v>
      </c>
      <c r="E5">
        <v>2</v>
      </c>
      <c r="F5">
        <v>2</v>
      </c>
      <c r="G5">
        <v>0.14499999999999999</v>
      </c>
      <c r="H5">
        <v>0</v>
      </c>
      <c r="I5">
        <v>0</v>
      </c>
      <c r="J5" s="1">
        <v>1</v>
      </c>
      <c r="L5">
        <f t="shared" si="0"/>
        <v>0</v>
      </c>
    </row>
    <row r="6" spans="1:13" x14ac:dyDescent="0.3">
      <c r="A6">
        <v>30</v>
      </c>
      <c r="B6">
        <v>2</v>
      </c>
      <c r="C6" s="1">
        <v>40</v>
      </c>
      <c r="D6">
        <v>1.1499999999999999</v>
      </c>
      <c r="E6">
        <v>2</v>
      </c>
      <c r="F6">
        <v>2</v>
      </c>
      <c r="G6">
        <v>0.107</v>
      </c>
      <c r="H6">
        <v>0</v>
      </c>
      <c r="I6">
        <v>0</v>
      </c>
      <c r="J6" s="1">
        <v>1</v>
      </c>
      <c r="L6">
        <f t="shared" si="0"/>
        <v>0</v>
      </c>
    </row>
    <row r="7" spans="1:13" x14ac:dyDescent="0.3">
      <c r="A7">
        <v>30</v>
      </c>
      <c r="B7">
        <v>2</v>
      </c>
      <c r="C7" s="1">
        <v>50</v>
      </c>
      <c r="D7">
        <v>1.1499999999999999</v>
      </c>
      <c r="E7">
        <v>2</v>
      </c>
      <c r="F7">
        <v>2</v>
      </c>
      <c r="G7">
        <v>7.4999999999999997E-2</v>
      </c>
      <c r="H7">
        <v>0</v>
      </c>
      <c r="I7">
        <v>0</v>
      </c>
      <c r="J7" s="1">
        <v>1</v>
      </c>
      <c r="L7">
        <f t="shared" si="0"/>
        <v>0</v>
      </c>
    </row>
    <row r="8" spans="1:13" x14ac:dyDescent="0.3">
      <c r="A8">
        <v>30</v>
      </c>
      <c r="B8">
        <v>2</v>
      </c>
      <c r="C8" s="1">
        <v>60</v>
      </c>
      <c r="D8">
        <v>1.1499999999999999</v>
      </c>
      <c r="E8">
        <v>2</v>
      </c>
      <c r="F8">
        <v>2</v>
      </c>
      <c r="G8">
        <v>9.0999999999999998E-2</v>
      </c>
      <c r="H8">
        <v>0</v>
      </c>
      <c r="I8">
        <v>0</v>
      </c>
      <c r="J8" s="1">
        <v>1</v>
      </c>
      <c r="L8">
        <f t="shared" si="0"/>
        <v>0</v>
      </c>
    </row>
    <row r="9" spans="1:13" x14ac:dyDescent="0.3">
      <c r="A9">
        <v>30</v>
      </c>
      <c r="B9">
        <v>2</v>
      </c>
      <c r="C9" s="1">
        <v>70</v>
      </c>
      <c r="D9">
        <v>1.1499999999999999</v>
      </c>
      <c r="F9">
        <v>2</v>
      </c>
      <c r="G9">
        <v>3600</v>
      </c>
      <c r="H9">
        <v>0</v>
      </c>
      <c r="I9">
        <v>0</v>
      </c>
      <c r="J9" s="1">
        <v>2</v>
      </c>
      <c r="L9">
        <f t="shared" si="0"/>
        <v>100</v>
      </c>
    </row>
    <row r="10" spans="1:13" x14ac:dyDescent="0.3">
      <c r="A10">
        <v>30</v>
      </c>
      <c r="B10">
        <v>2</v>
      </c>
      <c r="C10" s="1">
        <v>80</v>
      </c>
      <c r="D10">
        <v>1.1499999999999999</v>
      </c>
      <c r="E10">
        <v>2</v>
      </c>
      <c r="F10">
        <v>2</v>
      </c>
      <c r="G10">
        <v>0.11899999999999999</v>
      </c>
      <c r="H10">
        <v>0</v>
      </c>
      <c r="I10">
        <v>0</v>
      </c>
      <c r="J10" s="1">
        <v>1</v>
      </c>
      <c r="L10">
        <f t="shared" si="0"/>
        <v>0</v>
      </c>
    </row>
    <row r="11" spans="1:13" x14ac:dyDescent="0.3">
      <c r="A11">
        <v>30</v>
      </c>
      <c r="B11">
        <v>2</v>
      </c>
      <c r="C11" s="1">
        <v>90</v>
      </c>
      <c r="D11">
        <v>1.1499999999999999</v>
      </c>
      <c r="E11">
        <v>2</v>
      </c>
      <c r="F11">
        <v>2</v>
      </c>
      <c r="G11">
        <v>0.10199999999999999</v>
      </c>
      <c r="H11">
        <v>0</v>
      </c>
      <c r="I11">
        <v>0</v>
      </c>
      <c r="J11" s="1">
        <v>1</v>
      </c>
      <c r="L11">
        <f t="shared" si="0"/>
        <v>0</v>
      </c>
    </row>
    <row r="12" spans="1:13" s="2" customFormat="1" x14ac:dyDescent="0.3">
      <c r="A12" s="2">
        <v>30</v>
      </c>
      <c r="B12" s="2">
        <v>2</v>
      </c>
      <c r="C12" s="3">
        <v>100</v>
      </c>
      <c r="D12" s="2">
        <v>1.1499999999999999</v>
      </c>
      <c r="E12" s="2">
        <v>2</v>
      </c>
      <c r="F12" s="2">
        <v>2</v>
      </c>
      <c r="G12" s="2">
        <v>8.7999999999999995E-2</v>
      </c>
      <c r="H12" s="2">
        <v>0</v>
      </c>
      <c r="I12" s="2">
        <v>0</v>
      </c>
      <c r="J12" s="3">
        <v>1</v>
      </c>
      <c r="K12" s="5">
        <f>AVERAGE(G3:G12)</f>
        <v>720.08319999999981</v>
      </c>
      <c r="L12" s="2">
        <f t="shared" si="0"/>
        <v>0</v>
      </c>
    </row>
    <row r="13" spans="1:13" x14ac:dyDescent="0.3">
      <c r="A13">
        <v>30</v>
      </c>
      <c r="B13">
        <v>3</v>
      </c>
      <c r="C13" s="1">
        <v>10</v>
      </c>
      <c r="D13">
        <v>1.1499999999999999</v>
      </c>
      <c r="E13">
        <v>1</v>
      </c>
      <c r="F13">
        <v>1</v>
      </c>
      <c r="G13">
        <v>7.4999999999999997E-2</v>
      </c>
      <c r="H13">
        <v>0</v>
      </c>
      <c r="I13">
        <v>0</v>
      </c>
      <c r="J13" s="1">
        <v>1</v>
      </c>
      <c r="L13">
        <f t="shared" si="0"/>
        <v>0</v>
      </c>
    </row>
    <row r="14" spans="1:13" x14ac:dyDescent="0.3">
      <c r="A14">
        <v>30</v>
      </c>
      <c r="B14">
        <v>3</v>
      </c>
      <c r="C14" s="1">
        <v>20</v>
      </c>
      <c r="D14">
        <v>1.1499999999999999</v>
      </c>
      <c r="E14">
        <v>1</v>
      </c>
      <c r="F14">
        <v>1</v>
      </c>
      <c r="G14">
        <v>7.1999999999999995E-2</v>
      </c>
      <c r="H14">
        <v>0</v>
      </c>
      <c r="I14">
        <v>0</v>
      </c>
      <c r="J14" s="1">
        <v>1</v>
      </c>
      <c r="L14">
        <f t="shared" si="0"/>
        <v>0</v>
      </c>
    </row>
    <row r="15" spans="1:13" x14ac:dyDescent="0.3">
      <c r="A15">
        <v>30</v>
      </c>
      <c r="B15">
        <v>3</v>
      </c>
      <c r="C15" s="1">
        <v>30</v>
      </c>
      <c r="D15">
        <v>1.1499999999999999</v>
      </c>
      <c r="E15">
        <v>1</v>
      </c>
      <c r="F15">
        <v>1</v>
      </c>
      <c r="G15">
        <v>7.5999999999999998E-2</v>
      </c>
      <c r="H15">
        <v>0</v>
      </c>
      <c r="I15">
        <v>0</v>
      </c>
      <c r="J15" s="1">
        <v>1</v>
      </c>
      <c r="L15">
        <f t="shared" si="0"/>
        <v>0</v>
      </c>
    </row>
    <row r="16" spans="1:13" x14ac:dyDescent="0.3">
      <c r="A16">
        <v>30</v>
      </c>
      <c r="B16">
        <v>3</v>
      </c>
      <c r="C16" s="1">
        <v>40</v>
      </c>
      <c r="D16">
        <v>1.1499999999999999</v>
      </c>
      <c r="E16">
        <v>1</v>
      </c>
      <c r="F16">
        <v>1</v>
      </c>
      <c r="G16">
        <v>8.5000000000000006E-2</v>
      </c>
      <c r="H16">
        <v>0</v>
      </c>
      <c r="I16">
        <v>0</v>
      </c>
      <c r="J16" s="1">
        <v>1</v>
      </c>
      <c r="L16">
        <f t="shared" si="0"/>
        <v>0</v>
      </c>
    </row>
    <row r="17" spans="1:12" x14ac:dyDescent="0.3">
      <c r="A17">
        <v>30</v>
      </c>
      <c r="B17">
        <v>3</v>
      </c>
      <c r="C17" s="1">
        <v>50</v>
      </c>
      <c r="D17">
        <v>1.1499999999999999</v>
      </c>
      <c r="E17">
        <v>2</v>
      </c>
      <c r="F17">
        <v>2</v>
      </c>
      <c r="G17">
        <v>16.577000000000002</v>
      </c>
      <c r="H17">
        <v>0</v>
      </c>
      <c r="I17">
        <v>1</v>
      </c>
      <c r="J17" s="1">
        <v>3</v>
      </c>
      <c r="L17">
        <f t="shared" si="0"/>
        <v>0</v>
      </c>
    </row>
    <row r="18" spans="1:12" x14ac:dyDescent="0.3">
      <c r="A18">
        <v>30</v>
      </c>
      <c r="B18">
        <v>3</v>
      </c>
      <c r="C18" s="1">
        <v>60</v>
      </c>
      <c r="D18">
        <v>1.1499999999999999</v>
      </c>
      <c r="E18">
        <v>2</v>
      </c>
      <c r="F18">
        <v>2</v>
      </c>
      <c r="G18">
        <v>0.46700000000000003</v>
      </c>
      <c r="H18">
        <v>0</v>
      </c>
      <c r="I18">
        <v>1</v>
      </c>
      <c r="J18" s="1">
        <v>3</v>
      </c>
      <c r="L18">
        <f t="shared" si="0"/>
        <v>0</v>
      </c>
    </row>
    <row r="19" spans="1:12" x14ac:dyDescent="0.3">
      <c r="A19">
        <v>30</v>
      </c>
      <c r="B19">
        <v>3</v>
      </c>
      <c r="C19" s="1">
        <v>70</v>
      </c>
      <c r="D19">
        <v>1.1499999999999999</v>
      </c>
      <c r="E19">
        <v>1</v>
      </c>
      <c r="F19">
        <v>1</v>
      </c>
      <c r="G19">
        <v>6.3E-2</v>
      </c>
      <c r="H19">
        <v>0</v>
      </c>
      <c r="I19">
        <v>0</v>
      </c>
      <c r="J19" s="1">
        <v>1</v>
      </c>
      <c r="L19">
        <f t="shared" si="0"/>
        <v>0</v>
      </c>
    </row>
    <row r="20" spans="1:12" x14ac:dyDescent="0.3">
      <c r="A20">
        <v>30</v>
      </c>
      <c r="B20">
        <v>3</v>
      </c>
      <c r="C20" s="1">
        <v>80</v>
      </c>
      <c r="D20">
        <v>1.1499999999999999</v>
      </c>
      <c r="E20">
        <v>1</v>
      </c>
      <c r="F20">
        <v>1</v>
      </c>
      <c r="G20">
        <v>5.8000000000000003E-2</v>
      </c>
      <c r="H20">
        <v>0</v>
      </c>
      <c r="I20">
        <v>0</v>
      </c>
      <c r="J20" s="1">
        <v>1</v>
      </c>
      <c r="L20">
        <f t="shared" si="0"/>
        <v>0</v>
      </c>
    </row>
    <row r="21" spans="1:12" x14ac:dyDescent="0.3">
      <c r="A21">
        <v>30</v>
      </c>
      <c r="B21">
        <v>3</v>
      </c>
      <c r="C21" s="1">
        <v>90</v>
      </c>
      <c r="D21">
        <v>1.1499999999999999</v>
      </c>
      <c r="E21">
        <v>1</v>
      </c>
      <c r="F21">
        <v>1</v>
      </c>
      <c r="G21">
        <v>7.5999999999999998E-2</v>
      </c>
      <c r="H21">
        <v>0</v>
      </c>
      <c r="I21">
        <v>0</v>
      </c>
      <c r="J21" s="1">
        <v>1</v>
      </c>
      <c r="L21">
        <f t="shared" si="0"/>
        <v>0</v>
      </c>
    </row>
    <row r="22" spans="1:12" s="2" customFormat="1" x14ac:dyDescent="0.3">
      <c r="A22" s="2">
        <v>30</v>
      </c>
      <c r="B22" s="2">
        <v>3</v>
      </c>
      <c r="C22" s="3">
        <v>100</v>
      </c>
      <c r="D22" s="2">
        <v>1.1499999999999999</v>
      </c>
      <c r="E22" s="2">
        <v>1</v>
      </c>
      <c r="F22" s="2">
        <v>1</v>
      </c>
      <c r="G22" s="2">
        <v>5.8999999999999997E-2</v>
      </c>
      <c r="H22" s="2">
        <v>0</v>
      </c>
      <c r="I22" s="2">
        <v>0</v>
      </c>
      <c r="J22" s="3">
        <v>1</v>
      </c>
      <c r="K22" s="5">
        <f>AVERAGE(G13:G22)</f>
        <v>1.7608000000000001</v>
      </c>
      <c r="L22" s="2">
        <f t="shared" si="0"/>
        <v>0</v>
      </c>
    </row>
    <row r="23" spans="1:12" x14ac:dyDescent="0.3">
      <c r="A23">
        <v>30</v>
      </c>
      <c r="B23">
        <v>4</v>
      </c>
      <c r="C23" s="1">
        <v>10</v>
      </c>
      <c r="D23">
        <v>1.1499999999999999</v>
      </c>
      <c r="E23">
        <v>0</v>
      </c>
      <c r="F23">
        <v>0</v>
      </c>
      <c r="G23">
        <v>4.5999999999999999E-2</v>
      </c>
      <c r="H23">
        <v>0</v>
      </c>
      <c r="I23">
        <v>0</v>
      </c>
      <c r="J23" s="1">
        <v>1</v>
      </c>
      <c r="L23">
        <f t="shared" si="0"/>
        <v>0</v>
      </c>
    </row>
    <row r="24" spans="1:12" x14ac:dyDescent="0.3">
      <c r="A24">
        <v>30</v>
      </c>
      <c r="B24">
        <v>4</v>
      </c>
      <c r="C24" s="1">
        <v>20</v>
      </c>
      <c r="D24">
        <v>1.1499999999999999</v>
      </c>
      <c r="E24">
        <v>0</v>
      </c>
      <c r="F24">
        <v>0</v>
      </c>
      <c r="G24">
        <v>4.5999999999999999E-2</v>
      </c>
      <c r="H24">
        <v>0</v>
      </c>
      <c r="I24">
        <v>0</v>
      </c>
      <c r="J24" s="1">
        <v>1</v>
      </c>
      <c r="L24">
        <f t="shared" si="0"/>
        <v>0</v>
      </c>
    </row>
    <row r="25" spans="1:12" x14ac:dyDescent="0.3">
      <c r="A25">
        <v>30</v>
      </c>
      <c r="B25">
        <v>4</v>
      </c>
      <c r="C25" s="1">
        <v>30</v>
      </c>
      <c r="D25">
        <v>1.1499999999999999</v>
      </c>
      <c r="E25">
        <v>0</v>
      </c>
      <c r="F25">
        <v>0</v>
      </c>
      <c r="G25">
        <v>4.4999999999999998E-2</v>
      </c>
      <c r="H25">
        <v>0</v>
      </c>
      <c r="I25">
        <v>0</v>
      </c>
      <c r="J25" s="1">
        <v>1</v>
      </c>
      <c r="L25">
        <f t="shared" si="0"/>
        <v>0</v>
      </c>
    </row>
    <row r="26" spans="1:12" x14ac:dyDescent="0.3">
      <c r="A26">
        <v>30</v>
      </c>
      <c r="B26">
        <v>4</v>
      </c>
      <c r="C26" s="1">
        <v>40</v>
      </c>
      <c r="D26">
        <v>1.1499999999999999</v>
      </c>
      <c r="E26">
        <v>0</v>
      </c>
      <c r="F26">
        <v>0</v>
      </c>
      <c r="G26">
        <v>4.3999999999999997E-2</v>
      </c>
      <c r="H26">
        <v>0</v>
      </c>
      <c r="I26">
        <v>0</v>
      </c>
      <c r="J26" s="1">
        <v>1</v>
      </c>
      <c r="L26">
        <f t="shared" si="0"/>
        <v>0</v>
      </c>
    </row>
    <row r="27" spans="1:12" x14ac:dyDescent="0.3">
      <c r="A27">
        <v>30</v>
      </c>
      <c r="B27">
        <v>4</v>
      </c>
      <c r="C27" s="1">
        <v>50</v>
      </c>
      <c r="D27">
        <v>1.1499999999999999</v>
      </c>
      <c r="E27">
        <v>0</v>
      </c>
      <c r="F27">
        <v>0</v>
      </c>
      <c r="G27">
        <v>4.5999999999999999E-2</v>
      </c>
      <c r="H27">
        <v>0</v>
      </c>
      <c r="I27">
        <v>0</v>
      </c>
      <c r="J27" s="1">
        <v>1</v>
      </c>
      <c r="L27">
        <f t="shared" si="0"/>
        <v>0</v>
      </c>
    </row>
    <row r="28" spans="1:12" x14ac:dyDescent="0.3">
      <c r="A28">
        <v>30</v>
      </c>
      <c r="B28">
        <v>4</v>
      </c>
      <c r="C28" s="1">
        <v>60</v>
      </c>
      <c r="D28">
        <v>1.1499999999999999</v>
      </c>
      <c r="E28">
        <v>0</v>
      </c>
      <c r="F28">
        <v>0</v>
      </c>
      <c r="G28">
        <v>4.5999999999999999E-2</v>
      </c>
      <c r="H28">
        <v>0</v>
      </c>
      <c r="I28">
        <v>0</v>
      </c>
      <c r="J28" s="1">
        <v>1</v>
      </c>
      <c r="L28">
        <f t="shared" si="0"/>
        <v>0</v>
      </c>
    </row>
    <row r="29" spans="1:12" x14ac:dyDescent="0.3">
      <c r="A29">
        <v>30</v>
      </c>
      <c r="B29">
        <v>4</v>
      </c>
      <c r="C29" s="1">
        <v>70</v>
      </c>
      <c r="D29">
        <v>1.1499999999999999</v>
      </c>
      <c r="E29">
        <v>0</v>
      </c>
      <c r="F29">
        <v>0</v>
      </c>
      <c r="G29">
        <v>4.4999999999999998E-2</v>
      </c>
      <c r="H29">
        <v>0</v>
      </c>
      <c r="I29">
        <v>0</v>
      </c>
      <c r="J29" s="1">
        <v>1</v>
      </c>
      <c r="L29">
        <f t="shared" si="0"/>
        <v>0</v>
      </c>
    </row>
    <row r="30" spans="1:12" x14ac:dyDescent="0.3">
      <c r="A30">
        <v>30</v>
      </c>
      <c r="B30">
        <v>4</v>
      </c>
      <c r="C30" s="1">
        <v>80</v>
      </c>
      <c r="D30">
        <v>1.1499999999999999</v>
      </c>
      <c r="E30">
        <v>0</v>
      </c>
      <c r="F30">
        <v>0</v>
      </c>
      <c r="G30">
        <v>4.4999999999999998E-2</v>
      </c>
      <c r="H30">
        <v>0</v>
      </c>
      <c r="I30">
        <v>0</v>
      </c>
      <c r="J30" s="1">
        <v>1</v>
      </c>
      <c r="L30">
        <f t="shared" si="0"/>
        <v>0</v>
      </c>
    </row>
    <row r="31" spans="1:12" x14ac:dyDescent="0.3">
      <c r="A31">
        <v>30</v>
      </c>
      <c r="B31">
        <v>4</v>
      </c>
      <c r="C31" s="1">
        <v>90</v>
      </c>
      <c r="D31">
        <v>1.1499999999999999</v>
      </c>
      <c r="E31">
        <v>0</v>
      </c>
      <c r="F31">
        <v>0</v>
      </c>
      <c r="G31">
        <v>4.4999999999999998E-2</v>
      </c>
      <c r="H31">
        <v>0</v>
      </c>
      <c r="I31">
        <v>0</v>
      </c>
      <c r="J31" s="1">
        <v>1</v>
      </c>
      <c r="L31">
        <f t="shared" si="0"/>
        <v>0</v>
      </c>
    </row>
    <row r="32" spans="1:12" s="2" customFormat="1" x14ac:dyDescent="0.3">
      <c r="A32" s="2">
        <v>30</v>
      </c>
      <c r="B32" s="2">
        <v>4</v>
      </c>
      <c r="C32" s="3">
        <v>100</v>
      </c>
      <c r="D32" s="2">
        <v>1.1499999999999999</v>
      </c>
      <c r="E32" s="2">
        <v>1</v>
      </c>
      <c r="F32" s="2">
        <v>1</v>
      </c>
      <c r="G32" s="2">
        <v>4.8000000000000001E-2</v>
      </c>
      <c r="H32" s="2">
        <v>1</v>
      </c>
      <c r="I32" s="2">
        <v>1</v>
      </c>
      <c r="J32" s="3">
        <v>1</v>
      </c>
      <c r="K32" s="5">
        <f>AVERAGE(G23:G32)</f>
        <v>4.5599999999999988E-2</v>
      </c>
      <c r="L32" s="2">
        <f t="shared" si="0"/>
        <v>0</v>
      </c>
    </row>
    <row r="33" spans="1:12" x14ac:dyDescent="0.3">
      <c r="A33">
        <v>30</v>
      </c>
      <c r="B33">
        <v>5</v>
      </c>
      <c r="C33" s="1">
        <v>10</v>
      </c>
      <c r="D33">
        <v>1.1499999999999999</v>
      </c>
      <c r="E33">
        <v>0</v>
      </c>
      <c r="F33">
        <v>0</v>
      </c>
      <c r="G33">
        <v>4.4999999999999998E-2</v>
      </c>
      <c r="H33">
        <v>1</v>
      </c>
      <c r="I33">
        <v>1</v>
      </c>
      <c r="J33" s="1">
        <v>1</v>
      </c>
      <c r="L33">
        <f t="shared" si="0"/>
        <v>0</v>
      </c>
    </row>
    <row r="34" spans="1:12" x14ac:dyDescent="0.3">
      <c r="A34">
        <v>30</v>
      </c>
      <c r="B34">
        <v>5</v>
      </c>
      <c r="C34" s="1">
        <v>20</v>
      </c>
      <c r="D34">
        <v>1.1499999999999999</v>
      </c>
      <c r="E34">
        <v>0</v>
      </c>
      <c r="F34">
        <v>0</v>
      </c>
      <c r="G34">
        <v>4.4999999999999998E-2</v>
      </c>
      <c r="H34">
        <v>1</v>
      </c>
      <c r="I34">
        <v>1</v>
      </c>
      <c r="J34" s="1">
        <v>1</v>
      </c>
      <c r="L34">
        <f t="shared" si="0"/>
        <v>0</v>
      </c>
    </row>
    <row r="35" spans="1:12" x14ac:dyDescent="0.3">
      <c r="A35">
        <v>30</v>
      </c>
      <c r="B35">
        <v>5</v>
      </c>
      <c r="C35" s="1">
        <v>30</v>
      </c>
      <c r="D35">
        <v>1.1499999999999999</v>
      </c>
      <c r="E35">
        <v>0</v>
      </c>
      <c r="F35">
        <v>0</v>
      </c>
      <c r="G35">
        <v>4.4999999999999998E-2</v>
      </c>
      <c r="H35">
        <v>0</v>
      </c>
      <c r="I35">
        <v>0</v>
      </c>
      <c r="J35" s="1">
        <v>1</v>
      </c>
      <c r="L35">
        <f t="shared" si="0"/>
        <v>0</v>
      </c>
    </row>
    <row r="36" spans="1:12" x14ac:dyDescent="0.3">
      <c r="A36">
        <v>30</v>
      </c>
      <c r="B36">
        <v>5</v>
      </c>
      <c r="C36" s="1">
        <v>40</v>
      </c>
      <c r="D36">
        <v>1.1499999999999999</v>
      </c>
      <c r="E36">
        <v>0</v>
      </c>
      <c r="F36">
        <v>0</v>
      </c>
      <c r="G36">
        <v>4.2999999999999997E-2</v>
      </c>
      <c r="H36">
        <v>1</v>
      </c>
      <c r="I36">
        <v>1</v>
      </c>
      <c r="J36" s="1">
        <v>1</v>
      </c>
      <c r="L36">
        <f t="shared" si="0"/>
        <v>0</v>
      </c>
    </row>
    <row r="37" spans="1:12" x14ac:dyDescent="0.3">
      <c r="A37">
        <v>30</v>
      </c>
      <c r="B37">
        <v>5</v>
      </c>
      <c r="C37" s="1">
        <v>50</v>
      </c>
      <c r="D37">
        <v>1.1499999999999999</v>
      </c>
      <c r="E37">
        <v>0</v>
      </c>
      <c r="F37">
        <v>0</v>
      </c>
      <c r="G37">
        <v>4.9000000000000002E-2</v>
      </c>
      <c r="H37">
        <v>1</v>
      </c>
      <c r="I37">
        <v>1</v>
      </c>
      <c r="J37" s="1">
        <v>1</v>
      </c>
      <c r="L37">
        <f t="shared" si="0"/>
        <v>0</v>
      </c>
    </row>
    <row r="38" spans="1:12" x14ac:dyDescent="0.3">
      <c r="A38">
        <v>30</v>
      </c>
      <c r="B38">
        <v>5</v>
      </c>
      <c r="C38" s="1">
        <v>60</v>
      </c>
      <c r="D38">
        <v>1.1499999999999999</v>
      </c>
      <c r="E38">
        <v>0</v>
      </c>
      <c r="F38">
        <v>0</v>
      </c>
      <c r="G38">
        <v>4.5999999999999999E-2</v>
      </c>
      <c r="H38">
        <v>1</v>
      </c>
      <c r="I38">
        <v>1</v>
      </c>
      <c r="J38" s="1">
        <v>1</v>
      </c>
      <c r="L38">
        <f t="shared" si="0"/>
        <v>0</v>
      </c>
    </row>
    <row r="39" spans="1:12" x14ac:dyDescent="0.3">
      <c r="A39">
        <v>30</v>
      </c>
      <c r="B39">
        <v>5</v>
      </c>
      <c r="C39" s="1">
        <v>70</v>
      </c>
      <c r="D39">
        <v>1.1499999999999999</v>
      </c>
      <c r="E39">
        <v>0</v>
      </c>
      <c r="F39">
        <v>0</v>
      </c>
      <c r="G39">
        <v>4.4999999999999998E-2</v>
      </c>
      <c r="H39">
        <v>0</v>
      </c>
      <c r="I39">
        <v>0</v>
      </c>
      <c r="J39" s="1">
        <v>1</v>
      </c>
      <c r="L39">
        <f t="shared" si="0"/>
        <v>0</v>
      </c>
    </row>
    <row r="40" spans="1:12" x14ac:dyDescent="0.3">
      <c r="A40">
        <v>30</v>
      </c>
      <c r="B40">
        <v>5</v>
      </c>
      <c r="C40" s="1">
        <v>80</v>
      </c>
      <c r="D40">
        <v>1.1499999999999999</v>
      </c>
      <c r="E40">
        <v>0</v>
      </c>
      <c r="F40">
        <v>0</v>
      </c>
      <c r="G40">
        <v>4.4999999999999998E-2</v>
      </c>
      <c r="H40">
        <v>0</v>
      </c>
      <c r="I40">
        <v>0</v>
      </c>
      <c r="J40" s="1">
        <v>1</v>
      </c>
      <c r="L40">
        <f t="shared" si="0"/>
        <v>0</v>
      </c>
    </row>
    <row r="41" spans="1:12" x14ac:dyDescent="0.3">
      <c r="A41">
        <v>30</v>
      </c>
      <c r="B41">
        <v>5</v>
      </c>
      <c r="C41" s="1">
        <v>90</v>
      </c>
      <c r="D41">
        <v>1.1499999999999999</v>
      </c>
      <c r="E41">
        <v>0</v>
      </c>
      <c r="F41">
        <v>0</v>
      </c>
      <c r="G41">
        <v>4.3999999999999997E-2</v>
      </c>
      <c r="H41">
        <v>1</v>
      </c>
      <c r="I41">
        <v>1</v>
      </c>
      <c r="J41" s="1">
        <v>1</v>
      </c>
      <c r="L41">
        <f t="shared" si="0"/>
        <v>0</v>
      </c>
    </row>
    <row r="42" spans="1:12" s="2" customFormat="1" x14ac:dyDescent="0.3">
      <c r="A42" s="2">
        <v>30</v>
      </c>
      <c r="B42" s="2">
        <v>5</v>
      </c>
      <c r="C42" s="3">
        <v>100</v>
      </c>
      <c r="D42" s="2">
        <v>1.1499999999999999</v>
      </c>
      <c r="E42" s="2">
        <v>0</v>
      </c>
      <c r="F42" s="2">
        <v>0</v>
      </c>
      <c r="G42" s="2">
        <v>4.7E-2</v>
      </c>
      <c r="H42" s="2">
        <v>1</v>
      </c>
      <c r="I42" s="2">
        <v>1</v>
      </c>
      <c r="J42" s="3">
        <v>1</v>
      </c>
      <c r="K42" s="5">
        <f>AVERAGE(G33:G42)</f>
        <v>4.5399999999999989E-2</v>
      </c>
      <c r="L42" s="2">
        <f t="shared" si="0"/>
        <v>0</v>
      </c>
    </row>
    <row r="43" spans="1:12" x14ac:dyDescent="0.3">
      <c r="A43">
        <v>40</v>
      </c>
      <c r="B43">
        <v>2</v>
      </c>
      <c r="C43" s="1">
        <v>10</v>
      </c>
      <c r="D43">
        <v>1.1499999999999999</v>
      </c>
      <c r="F43">
        <v>4</v>
      </c>
      <c r="G43">
        <v>3600</v>
      </c>
      <c r="H43">
        <v>0</v>
      </c>
      <c r="I43">
        <v>0</v>
      </c>
      <c r="J43" s="1">
        <v>2</v>
      </c>
      <c r="L43">
        <f t="shared" si="0"/>
        <v>100</v>
      </c>
    </row>
    <row r="44" spans="1:12" x14ac:dyDescent="0.3">
      <c r="A44">
        <v>40</v>
      </c>
      <c r="B44">
        <v>2</v>
      </c>
      <c r="C44" s="1">
        <v>20</v>
      </c>
      <c r="D44">
        <v>1.1499999999999999</v>
      </c>
      <c r="F44">
        <v>4</v>
      </c>
      <c r="G44">
        <v>3600</v>
      </c>
      <c r="H44">
        <v>0</v>
      </c>
      <c r="I44">
        <v>0</v>
      </c>
      <c r="J44" s="1">
        <v>2</v>
      </c>
      <c r="L44">
        <f t="shared" si="0"/>
        <v>100</v>
      </c>
    </row>
    <row r="45" spans="1:12" x14ac:dyDescent="0.3">
      <c r="A45">
        <v>40</v>
      </c>
      <c r="B45">
        <v>2</v>
      </c>
      <c r="C45" s="1">
        <v>30</v>
      </c>
      <c r="D45">
        <v>1.1499999999999999</v>
      </c>
      <c r="F45">
        <v>4</v>
      </c>
      <c r="G45">
        <v>3600</v>
      </c>
      <c r="H45">
        <v>0</v>
      </c>
      <c r="I45">
        <v>0</v>
      </c>
      <c r="J45" s="1">
        <v>2</v>
      </c>
      <c r="L45">
        <f t="shared" si="0"/>
        <v>100</v>
      </c>
    </row>
    <row r="46" spans="1:12" x14ac:dyDescent="0.3">
      <c r="A46">
        <v>40</v>
      </c>
      <c r="B46">
        <v>2</v>
      </c>
      <c r="C46" s="1">
        <v>40</v>
      </c>
      <c r="D46">
        <v>1.1499999999999999</v>
      </c>
      <c r="E46">
        <v>4</v>
      </c>
      <c r="F46">
        <v>4</v>
      </c>
      <c r="G46">
        <v>53.643999999999998</v>
      </c>
      <c r="H46">
        <v>0</v>
      </c>
      <c r="I46">
        <v>0</v>
      </c>
      <c r="J46" s="1">
        <v>2</v>
      </c>
      <c r="L46">
        <f t="shared" si="0"/>
        <v>0</v>
      </c>
    </row>
    <row r="47" spans="1:12" x14ac:dyDescent="0.3">
      <c r="A47">
        <v>40</v>
      </c>
      <c r="B47">
        <v>2</v>
      </c>
      <c r="C47" s="1">
        <v>50</v>
      </c>
      <c r="D47">
        <v>1.1499999999999999</v>
      </c>
      <c r="F47">
        <v>4</v>
      </c>
      <c r="G47">
        <v>3600</v>
      </c>
      <c r="H47">
        <v>0</v>
      </c>
      <c r="I47">
        <v>0</v>
      </c>
      <c r="J47" s="1">
        <v>2</v>
      </c>
      <c r="L47">
        <f t="shared" si="0"/>
        <v>100</v>
      </c>
    </row>
    <row r="48" spans="1:12" x14ac:dyDescent="0.3">
      <c r="A48">
        <v>40</v>
      </c>
      <c r="B48">
        <v>2</v>
      </c>
      <c r="C48" s="1">
        <v>60</v>
      </c>
      <c r="D48">
        <v>1.1499999999999999</v>
      </c>
      <c r="E48">
        <v>4</v>
      </c>
      <c r="F48">
        <v>4</v>
      </c>
      <c r="G48">
        <v>14.766</v>
      </c>
      <c r="H48">
        <v>0</v>
      </c>
      <c r="I48">
        <v>0</v>
      </c>
      <c r="J48" s="1">
        <v>2</v>
      </c>
      <c r="L48">
        <f t="shared" si="0"/>
        <v>0</v>
      </c>
    </row>
    <row r="49" spans="1:12" x14ac:dyDescent="0.3">
      <c r="A49">
        <v>40</v>
      </c>
      <c r="B49">
        <v>2</v>
      </c>
      <c r="C49" s="1">
        <v>70</v>
      </c>
      <c r="D49">
        <v>1.1499999999999999</v>
      </c>
      <c r="E49">
        <v>4</v>
      </c>
      <c r="F49">
        <v>4</v>
      </c>
      <c r="G49">
        <v>350.37200000000001</v>
      </c>
      <c r="H49">
        <v>0</v>
      </c>
      <c r="I49">
        <v>0</v>
      </c>
      <c r="J49" s="1">
        <v>5</v>
      </c>
      <c r="L49">
        <f t="shared" si="0"/>
        <v>0</v>
      </c>
    </row>
    <row r="50" spans="1:12" x14ac:dyDescent="0.3">
      <c r="A50">
        <v>40</v>
      </c>
      <c r="B50">
        <v>2</v>
      </c>
      <c r="C50" s="1">
        <v>80</v>
      </c>
      <c r="D50">
        <v>1.1499999999999999</v>
      </c>
      <c r="E50">
        <v>4</v>
      </c>
      <c r="F50">
        <v>4</v>
      </c>
      <c r="G50">
        <v>0.217</v>
      </c>
      <c r="H50">
        <v>0</v>
      </c>
      <c r="I50">
        <v>0</v>
      </c>
      <c r="J50" s="1">
        <v>1</v>
      </c>
      <c r="L50">
        <f t="shared" si="0"/>
        <v>0</v>
      </c>
    </row>
    <row r="51" spans="1:12" x14ac:dyDescent="0.3">
      <c r="A51">
        <v>40</v>
      </c>
      <c r="B51">
        <v>2</v>
      </c>
      <c r="C51" s="1">
        <v>90</v>
      </c>
      <c r="D51">
        <v>1.1499999999999999</v>
      </c>
      <c r="F51">
        <v>4</v>
      </c>
      <c r="G51">
        <v>3600</v>
      </c>
      <c r="H51">
        <v>0</v>
      </c>
      <c r="I51">
        <v>0</v>
      </c>
      <c r="J51" s="1">
        <v>2</v>
      </c>
      <c r="L51">
        <f t="shared" si="0"/>
        <v>100</v>
      </c>
    </row>
    <row r="52" spans="1:12" s="2" customFormat="1" x14ac:dyDescent="0.3">
      <c r="A52" s="2">
        <v>40</v>
      </c>
      <c r="B52" s="2">
        <v>2</v>
      </c>
      <c r="C52" s="3">
        <v>100</v>
      </c>
      <c r="D52" s="2">
        <v>1.1499999999999999</v>
      </c>
      <c r="E52" s="2">
        <v>5</v>
      </c>
      <c r="F52" s="2">
        <v>4</v>
      </c>
      <c r="G52" s="2">
        <v>3600</v>
      </c>
      <c r="H52" s="2">
        <v>0</v>
      </c>
      <c r="I52" s="2">
        <v>0</v>
      </c>
      <c r="J52" s="3">
        <v>3</v>
      </c>
      <c r="K52" s="5">
        <f>AVERAGE(G43:G52)</f>
        <v>2201.8998999999999</v>
      </c>
      <c r="L52" s="2">
        <f t="shared" si="0"/>
        <v>20</v>
      </c>
    </row>
    <row r="53" spans="1:12" x14ac:dyDescent="0.3">
      <c r="A53">
        <v>40</v>
      </c>
      <c r="B53">
        <v>3</v>
      </c>
      <c r="C53" s="1">
        <v>10</v>
      </c>
      <c r="D53">
        <v>1.1499999999999999</v>
      </c>
      <c r="E53">
        <v>3</v>
      </c>
      <c r="F53">
        <v>3</v>
      </c>
      <c r="G53">
        <v>0.16800000000000001</v>
      </c>
      <c r="H53">
        <v>0</v>
      </c>
      <c r="I53">
        <v>0</v>
      </c>
      <c r="J53" s="1">
        <v>1</v>
      </c>
      <c r="L53">
        <f t="shared" si="0"/>
        <v>0</v>
      </c>
    </row>
    <row r="54" spans="1:12" x14ac:dyDescent="0.3">
      <c r="A54">
        <v>40</v>
      </c>
      <c r="B54">
        <v>3</v>
      </c>
      <c r="C54" s="1">
        <v>20</v>
      </c>
      <c r="D54">
        <v>1.1499999999999999</v>
      </c>
      <c r="F54">
        <v>3</v>
      </c>
      <c r="G54">
        <v>3600</v>
      </c>
      <c r="H54">
        <v>0</v>
      </c>
      <c r="I54">
        <v>0</v>
      </c>
      <c r="J54" s="1">
        <v>2</v>
      </c>
      <c r="L54">
        <f t="shared" si="0"/>
        <v>100</v>
      </c>
    </row>
    <row r="55" spans="1:12" x14ac:dyDescent="0.3">
      <c r="A55">
        <v>40</v>
      </c>
      <c r="B55">
        <v>3</v>
      </c>
      <c r="C55" s="1">
        <v>30</v>
      </c>
      <c r="D55">
        <v>1.1499999999999999</v>
      </c>
      <c r="E55">
        <v>3</v>
      </c>
      <c r="F55">
        <v>3</v>
      </c>
      <c r="G55">
        <v>0.16400000000000001</v>
      </c>
      <c r="H55">
        <v>0</v>
      </c>
      <c r="I55">
        <v>0</v>
      </c>
      <c r="J55" s="1">
        <v>1</v>
      </c>
      <c r="L55">
        <f t="shared" si="0"/>
        <v>0</v>
      </c>
    </row>
    <row r="56" spans="1:12" x14ac:dyDescent="0.3">
      <c r="A56">
        <v>40</v>
      </c>
      <c r="B56">
        <v>3</v>
      </c>
      <c r="C56" s="1">
        <v>40</v>
      </c>
      <c r="D56">
        <v>1.1499999999999999</v>
      </c>
      <c r="E56">
        <v>3</v>
      </c>
      <c r="F56">
        <v>3</v>
      </c>
      <c r="G56">
        <v>1.337</v>
      </c>
      <c r="H56">
        <v>0</v>
      </c>
      <c r="I56">
        <v>0</v>
      </c>
      <c r="J56" s="1">
        <v>2</v>
      </c>
      <c r="L56">
        <f t="shared" si="0"/>
        <v>0</v>
      </c>
    </row>
    <row r="57" spans="1:12" x14ac:dyDescent="0.3">
      <c r="A57">
        <v>40</v>
      </c>
      <c r="B57">
        <v>3</v>
      </c>
      <c r="C57" s="1">
        <v>50</v>
      </c>
      <c r="D57">
        <v>1.1499999999999999</v>
      </c>
      <c r="E57">
        <v>3</v>
      </c>
      <c r="F57">
        <v>3</v>
      </c>
      <c r="G57">
        <v>0.108</v>
      </c>
      <c r="H57">
        <v>0</v>
      </c>
      <c r="I57">
        <v>0</v>
      </c>
      <c r="J57" s="1">
        <v>1</v>
      </c>
      <c r="L57">
        <f t="shared" si="0"/>
        <v>0</v>
      </c>
    </row>
    <row r="58" spans="1:12" x14ac:dyDescent="0.3">
      <c r="A58">
        <v>40</v>
      </c>
      <c r="B58">
        <v>3</v>
      </c>
      <c r="C58" s="1">
        <v>60</v>
      </c>
      <c r="D58">
        <v>1.1499999999999999</v>
      </c>
      <c r="E58">
        <v>3</v>
      </c>
      <c r="F58">
        <v>3</v>
      </c>
      <c r="G58">
        <v>0.29899999999999999</v>
      </c>
      <c r="H58">
        <v>0</v>
      </c>
      <c r="I58">
        <v>0</v>
      </c>
      <c r="J58" s="1">
        <v>2</v>
      </c>
      <c r="L58">
        <f t="shared" si="0"/>
        <v>0</v>
      </c>
    </row>
    <row r="59" spans="1:12" x14ac:dyDescent="0.3">
      <c r="A59">
        <v>40</v>
      </c>
      <c r="B59">
        <v>3</v>
      </c>
      <c r="C59" s="1">
        <v>70</v>
      </c>
      <c r="D59">
        <v>1.1499999999999999</v>
      </c>
      <c r="E59">
        <v>3</v>
      </c>
      <c r="F59">
        <v>3</v>
      </c>
      <c r="G59">
        <v>0.872</v>
      </c>
      <c r="H59">
        <v>0</v>
      </c>
      <c r="I59">
        <v>0</v>
      </c>
      <c r="J59" s="1">
        <v>2</v>
      </c>
      <c r="L59">
        <f t="shared" si="0"/>
        <v>0</v>
      </c>
    </row>
    <row r="60" spans="1:12" x14ac:dyDescent="0.3">
      <c r="A60">
        <v>40</v>
      </c>
      <c r="B60">
        <v>3</v>
      </c>
      <c r="C60" s="1">
        <v>80</v>
      </c>
      <c r="D60">
        <v>1.1499999999999999</v>
      </c>
      <c r="E60">
        <v>3</v>
      </c>
      <c r="F60">
        <v>3</v>
      </c>
      <c r="G60">
        <v>180.816</v>
      </c>
      <c r="H60">
        <v>0</v>
      </c>
      <c r="I60">
        <v>0</v>
      </c>
      <c r="J60" s="1">
        <v>2</v>
      </c>
      <c r="L60">
        <f t="shared" si="0"/>
        <v>0</v>
      </c>
    </row>
    <row r="61" spans="1:12" x14ac:dyDescent="0.3">
      <c r="A61">
        <v>40</v>
      </c>
      <c r="B61">
        <v>3</v>
      </c>
      <c r="C61" s="1">
        <v>90</v>
      </c>
      <c r="D61">
        <v>1.1499999999999999</v>
      </c>
      <c r="E61">
        <v>3</v>
      </c>
      <c r="F61">
        <v>3</v>
      </c>
      <c r="G61">
        <v>180.78200000000001</v>
      </c>
      <c r="H61">
        <v>0</v>
      </c>
      <c r="I61">
        <v>0</v>
      </c>
      <c r="J61" s="1">
        <v>2</v>
      </c>
      <c r="L61">
        <f t="shared" si="0"/>
        <v>0</v>
      </c>
    </row>
    <row r="62" spans="1:12" s="2" customFormat="1" x14ac:dyDescent="0.3">
      <c r="A62" s="2">
        <v>40</v>
      </c>
      <c r="B62" s="2">
        <v>3</v>
      </c>
      <c r="C62" s="3">
        <v>100</v>
      </c>
      <c r="D62" s="2">
        <v>1.1499999999999999</v>
      </c>
      <c r="E62" s="2">
        <v>3</v>
      </c>
      <c r="F62" s="2">
        <v>3</v>
      </c>
      <c r="G62" s="2">
        <v>0.11700000000000001</v>
      </c>
      <c r="H62" s="2">
        <v>0</v>
      </c>
      <c r="I62" s="2">
        <v>0</v>
      </c>
      <c r="J62" s="3">
        <v>1</v>
      </c>
      <c r="K62" s="5">
        <f>AVERAGE(G53:G62)</f>
        <v>396.46630000000005</v>
      </c>
      <c r="L62" s="2">
        <f t="shared" si="0"/>
        <v>0</v>
      </c>
    </row>
    <row r="63" spans="1:12" x14ac:dyDescent="0.3">
      <c r="A63">
        <v>40</v>
      </c>
      <c r="B63">
        <v>4</v>
      </c>
      <c r="C63" s="1">
        <v>10</v>
      </c>
      <c r="D63">
        <v>1.1499999999999999</v>
      </c>
      <c r="E63">
        <v>2</v>
      </c>
      <c r="F63">
        <v>2</v>
      </c>
      <c r="G63">
        <v>0.125</v>
      </c>
      <c r="H63">
        <v>0</v>
      </c>
      <c r="I63">
        <v>1</v>
      </c>
      <c r="J63" s="1">
        <v>1</v>
      </c>
      <c r="L63">
        <f t="shared" si="0"/>
        <v>0</v>
      </c>
    </row>
    <row r="64" spans="1:12" x14ac:dyDescent="0.3">
      <c r="A64">
        <v>40</v>
      </c>
      <c r="B64">
        <v>4</v>
      </c>
      <c r="C64" s="1">
        <v>20</v>
      </c>
      <c r="D64">
        <v>1.1499999999999999</v>
      </c>
      <c r="E64">
        <v>2</v>
      </c>
      <c r="F64">
        <v>2</v>
      </c>
      <c r="G64">
        <v>8.6999999999999994E-2</v>
      </c>
      <c r="H64">
        <v>0</v>
      </c>
      <c r="I64">
        <v>0</v>
      </c>
      <c r="J64" s="1">
        <v>1</v>
      </c>
      <c r="L64">
        <f t="shared" si="0"/>
        <v>0</v>
      </c>
    </row>
    <row r="65" spans="1:12" x14ac:dyDescent="0.3">
      <c r="A65">
        <v>40</v>
      </c>
      <c r="B65">
        <v>4</v>
      </c>
      <c r="C65" s="1">
        <v>30</v>
      </c>
      <c r="D65">
        <v>1.1499999999999999</v>
      </c>
      <c r="E65">
        <v>2</v>
      </c>
      <c r="F65">
        <v>2</v>
      </c>
      <c r="G65">
        <v>0.249</v>
      </c>
      <c r="H65">
        <v>0</v>
      </c>
      <c r="I65">
        <v>1</v>
      </c>
      <c r="J65" s="1">
        <v>2</v>
      </c>
      <c r="L65">
        <f t="shared" si="0"/>
        <v>0</v>
      </c>
    </row>
    <row r="66" spans="1:12" x14ac:dyDescent="0.3">
      <c r="A66">
        <v>40</v>
      </c>
      <c r="B66">
        <v>4</v>
      </c>
      <c r="C66" s="1">
        <v>40</v>
      </c>
      <c r="D66">
        <v>1.1499999999999999</v>
      </c>
      <c r="E66">
        <v>2</v>
      </c>
      <c r="F66">
        <v>2</v>
      </c>
      <c r="G66">
        <v>0.106</v>
      </c>
      <c r="H66">
        <v>0</v>
      </c>
      <c r="I66">
        <v>0</v>
      </c>
      <c r="J66" s="1">
        <v>1</v>
      </c>
      <c r="L66">
        <f t="shared" si="0"/>
        <v>0</v>
      </c>
    </row>
    <row r="67" spans="1:12" x14ac:dyDescent="0.3">
      <c r="A67">
        <v>40</v>
      </c>
      <c r="B67">
        <v>4</v>
      </c>
      <c r="C67" s="1">
        <v>50</v>
      </c>
      <c r="D67">
        <v>1.1499999999999999</v>
      </c>
      <c r="E67">
        <v>2</v>
      </c>
      <c r="F67">
        <v>2</v>
      </c>
      <c r="G67">
        <v>10.241</v>
      </c>
      <c r="H67">
        <v>0</v>
      </c>
      <c r="I67">
        <v>2</v>
      </c>
      <c r="J67" s="1">
        <v>4</v>
      </c>
      <c r="L67">
        <f t="shared" ref="L67:L130" si="1">IF(ISBLANK(E67),IF(ISBLANK(F67),"",100), IF(E67+F67=0, 0, IF(G67=3600, IF(E67=F67,1,(E67-F67)/E67*100), 0)))</f>
        <v>0</v>
      </c>
    </row>
    <row r="68" spans="1:12" x14ac:dyDescent="0.3">
      <c r="A68">
        <v>40</v>
      </c>
      <c r="B68">
        <v>4</v>
      </c>
      <c r="C68" s="1">
        <v>60</v>
      </c>
      <c r="D68">
        <v>1.1499999999999999</v>
      </c>
      <c r="E68">
        <v>2</v>
      </c>
      <c r="F68">
        <v>2</v>
      </c>
      <c r="G68">
        <v>0.09</v>
      </c>
      <c r="H68">
        <v>0</v>
      </c>
      <c r="I68">
        <v>0</v>
      </c>
      <c r="J68" s="1">
        <v>1</v>
      </c>
      <c r="L68">
        <f t="shared" si="1"/>
        <v>0</v>
      </c>
    </row>
    <row r="69" spans="1:12" x14ac:dyDescent="0.3">
      <c r="A69">
        <v>40</v>
      </c>
      <c r="B69">
        <v>4</v>
      </c>
      <c r="C69" s="1">
        <v>70</v>
      </c>
      <c r="D69">
        <v>1.1499999999999999</v>
      </c>
      <c r="E69">
        <v>2</v>
      </c>
      <c r="F69">
        <v>2</v>
      </c>
      <c r="G69">
        <v>0.106</v>
      </c>
      <c r="H69">
        <v>0</v>
      </c>
      <c r="I69">
        <v>1</v>
      </c>
      <c r="J69" s="1">
        <v>1</v>
      </c>
      <c r="L69">
        <f t="shared" si="1"/>
        <v>0</v>
      </c>
    </row>
    <row r="70" spans="1:12" x14ac:dyDescent="0.3">
      <c r="A70">
        <v>40</v>
      </c>
      <c r="B70">
        <v>4</v>
      </c>
      <c r="C70" s="1">
        <v>80</v>
      </c>
      <c r="D70">
        <v>1.1499999999999999</v>
      </c>
      <c r="E70">
        <v>2</v>
      </c>
      <c r="F70">
        <v>2</v>
      </c>
      <c r="G70">
        <v>0.16800000000000001</v>
      </c>
      <c r="H70">
        <v>0</v>
      </c>
      <c r="I70">
        <v>2</v>
      </c>
      <c r="J70" s="1">
        <v>1</v>
      </c>
      <c r="L70">
        <f t="shared" si="1"/>
        <v>0</v>
      </c>
    </row>
    <row r="71" spans="1:12" x14ac:dyDescent="0.3">
      <c r="A71">
        <v>40</v>
      </c>
      <c r="B71">
        <v>4</v>
      </c>
      <c r="C71" s="1">
        <v>90</v>
      </c>
      <c r="D71">
        <v>1.1499999999999999</v>
      </c>
      <c r="E71">
        <v>2</v>
      </c>
      <c r="F71">
        <v>2</v>
      </c>
      <c r="G71">
        <v>3.7349999999999999</v>
      </c>
      <c r="H71">
        <v>0</v>
      </c>
      <c r="I71">
        <v>2</v>
      </c>
      <c r="J71" s="1">
        <v>5</v>
      </c>
      <c r="L71">
        <f t="shared" si="1"/>
        <v>0</v>
      </c>
    </row>
    <row r="72" spans="1:12" s="2" customFormat="1" x14ac:dyDescent="0.3">
      <c r="A72" s="2">
        <v>40</v>
      </c>
      <c r="B72" s="2">
        <v>4</v>
      </c>
      <c r="C72" s="3">
        <v>100</v>
      </c>
      <c r="D72" s="2">
        <v>1.1499999999999999</v>
      </c>
      <c r="E72" s="2">
        <v>2</v>
      </c>
      <c r="F72" s="2">
        <v>2</v>
      </c>
      <c r="G72" s="2">
        <v>8.5999999999999993E-2</v>
      </c>
      <c r="H72" s="2">
        <v>0</v>
      </c>
      <c r="I72" s="2">
        <v>0</v>
      </c>
      <c r="J72" s="3">
        <v>1</v>
      </c>
      <c r="K72" s="5">
        <f>AVERAGE(G63:G72)</f>
        <v>1.4992999999999999</v>
      </c>
      <c r="L72" s="2">
        <f t="shared" si="1"/>
        <v>0</v>
      </c>
    </row>
    <row r="73" spans="1:12" x14ac:dyDescent="0.3">
      <c r="A73">
        <v>40</v>
      </c>
      <c r="B73">
        <v>5</v>
      </c>
      <c r="C73" s="1">
        <v>10</v>
      </c>
      <c r="D73">
        <v>1.1499999999999999</v>
      </c>
      <c r="E73">
        <v>2</v>
      </c>
      <c r="F73">
        <v>2</v>
      </c>
      <c r="G73">
        <v>0.13300000000000001</v>
      </c>
      <c r="H73">
        <v>0</v>
      </c>
      <c r="I73">
        <v>0</v>
      </c>
      <c r="J73" s="1">
        <v>1</v>
      </c>
      <c r="L73">
        <f t="shared" si="1"/>
        <v>0</v>
      </c>
    </row>
    <row r="74" spans="1:12" x14ac:dyDescent="0.3">
      <c r="A74">
        <v>40</v>
      </c>
      <c r="B74">
        <v>5</v>
      </c>
      <c r="C74" s="1">
        <v>20</v>
      </c>
      <c r="D74">
        <v>1.1499999999999999</v>
      </c>
      <c r="E74">
        <v>1</v>
      </c>
      <c r="F74">
        <v>1</v>
      </c>
      <c r="G74">
        <v>5.4909999999999997</v>
      </c>
      <c r="H74">
        <v>0</v>
      </c>
      <c r="I74">
        <v>2</v>
      </c>
      <c r="J74" s="1">
        <v>2</v>
      </c>
      <c r="L74">
        <f t="shared" si="1"/>
        <v>0</v>
      </c>
    </row>
    <row r="75" spans="1:12" x14ac:dyDescent="0.3">
      <c r="A75">
        <v>40</v>
      </c>
      <c r="B75">
        <v>5</v>
      </c>
      <c r="C75" s="1">
        <v>30</v>
      </c>
      <c r="D75">
        <v>1.1499999999999999</v>
      </c>
      <c r="E75">
        <v>2</v>
      </c>
      <c r="F75">
        <v>2</v>
      </c>
      <c r="G75">
        <v>0.17299999999999999</v>
      </c>
      <c r="H75">
        <v>0</v>
      </c>
      <c r="I75">
        <v>0</v>
      </c>
      <c r="J75" s="1">
        <v>1</v>
      </c>
      <c r="L75">
        <f t="shared" si="1"/>
        <v>0</v>
      </c>
    </row>
    <row r="76" spans="1:12" x14ac:dyDescent="0.3">
      <c r="A76">
        <v>40</v>
      </c>
      <c r="B76">
        <v>5</v>
      </c>
      <c r="C76" s="1">
        <v>40</v>
      </c>
      <c r="D76">
        <v>1.1499999999999999</v>
      </c>
      <c r="E76">
        <v>1</v>
      </c>
      <c r="F76">
        <v>1</v>
      </c>
      <c r="G76">
        <v>7.1999999999999995E-2</v>
      </c>
      <c r="H76">
        <v>0</v>
      </c>
      <c r="I76">
        <v>0</v>
      </c>
      <c r="J76" s="1">
        <v>1</v>
      </c>
      <c r="L76">
        <f t="shared" si="1"/>
        <v>0</v>
      </c>
    </row>
    <row r="77" spans="1:12" x14ac:dyDescent="0.3">
      <c r="A77">
        <v>40</v>
      </c>
      <c r="B77">
        <v>5</v>
      </c>
      <c r="C77" s="1">
        <v>50</v>
      </c>
      <c r="D77">
        <v>1.1499999999999999</v>
      </c>
      <c r="E77">
        <v>2</v>
      </c>
      <c r="F77">
        <v>2</v>
      </c>
      <c r="G77">
        <v>0.69799999999999995</v>
      </c>
      <c r="H77">
        <v>0</v>
      </c>
      <c r="I77">
        <v>2</v>
      </c>
      <c r="J77" s="1">
        <v>2</v>
      </c>
      <c r="L77">
        <f t="shared" si="1"/>
        <v>0</v>
      </c>
    </row>
    <row r="78" spans="1:12" x14ac:dyDescent="0.3">
      <c r="A78">
        <v>40</v>
      </c>
      <c r="B78">
        <v>5</v>
      </c>
      <c r="C78" s="1">
        <v>60</v>
      </c>
      <c r="D78">
        <v>1.1499999999999999</v>
      </c>
      <c r="E78">
        <v>1</v>
      </c>
      <c r="F78">
        <v>1</v>
      </c>
      <c r="G78">
        <v>0.17199999999999999</v>
      </c>
      <c r="H78">
        <v>0</v>
      </c>
      <c r="I78">
        <v>1</v>
      </c>
      <c r="J78" s="1">
        <v>1</v>
      </c>
      <c r="L78">
        <f t="shared" si="1"/>
        <v>0</v>
      </c>
    </row>
    <row r="79" spans="1:12" x14ac:dyDescent="0.3">
      <c r="A79">
        <v>40</v>
      </c>
      <c r="B79">
        <v>5</v>
      </c>
      <c r="C79" s="1">
        <v>70</v>
      </c>
      <c r="D79">
        <v>1.1499999999999999</v>
      </c>
      <c r="E79">
        <v>1</v>
      </c>
      <c r="F79">
        <v>1</v>
      </c>
      <c r="G79">
        <v>8.8999999999999996E-2</v>
      </c>
      <c r="H79">
        <v>0</v>
      </c>
      <c r="I79">
        <v>1</v>
      </c>
      <c r="J79" s="1">
        <v>1</v>
      </c>
      <c r="L79">
        <f t="shared" si="1"/>
        <v>0</v>
      </c>
    </row>
    <row r="80" spans="1:12" x14ac:dyDescent="0.3">
      <c r="A80">
        <v>40</v>
      </c>
      <c r="B80">
        <v>5</v>
      </c>
      <c r="C80" s="1">
        <v>80</v>
      </c>
      <c r="D80">
        <v>1.1499999999999999</v>
      </c>
      <c r="E80">
        <v>2</v>
      </c>
      <c r="F80">
        <v>2</v>
      </c>
      <c r="G80">
        <v>0.30299999999999999</v>
      </c>
      <c r="H80">
        <v>0</v>
      </c>
      <c r="I80">
        <v>4</v>
      </c>
      <c r="J80" s="1">
        <v>1</v>
      </c>
      <c r="L80">
        <f t="shared" si="1"/>
        <v>0</v>
      </c>
    </row>
    <row r="81" spans="1:12" x14ac:dyDescent="0.3">
      <c r="A81">
        <v>40</v>
      </c>
      <c r="B81">
        <v>5</v>
      </c>
      <c r="C81" s="1">
        <v>90</v>
      </c>
      <c r="D81">
        <v>1.1499999999999999</v>
      </c>
      <c r="E81">
        <v>2</v>
      </c>
      <c r="F81">
        <v>2</v>
      </c>
      <c r="G81">
        <v>0.76400000000000001</v>
      </c>
      <c r="H81">
        <v>0</v>
      </c>
      <c r="I81">
        <v>1</v>
      </c>
      <c r="J81" s="1">
        <v>2</v>
      </c>
      <c r="L81">
        <f t="shared" si="1"/>
        <v>0</v>
      </c>
    </row>
    <row r="82" spans="1:12" s="2" customFormat="1" x14ac:dyDescent="0.3">
      <c r="A82" s="2">
        <v>40</v>
      </c>
      <c r="B82" s="2">
        <v>5</v>
      </c>
      <c r="C82" s="3">
        <v>100</v>
      </c>
      <c r="D82" s="2">
        <v>1.1499999999999999</v>
      </c>
      <c r="E82" s="2">
        <v>1</v>
      </c>
      <c r="F82" s="2">
        <v>1</v>
      </c>
      <c r="G82" s="2">
        <v>7.3999999999999996E-2</v>
      </c>
      <c r="H82" s="2">
        <v>0</v>
      </c>
      <c r="I82" s="2">
        <v>0</v>
      </c>
      <c r="J82" s="3">
        <v>1</v>
      </c>
      <c r="K82" s="5">
        <f>AVERAGE(G73:G82)</f>
        <v>0.79690000000000005</v>
      </c>
      <c r="L82" s="2">
        <f t="shared" si="1"/>
        <v>0</v>
      </c>
    </row>
    <row r="83" spans="1:12" x14ac:dyDescent="0.3">
      <c r="A83">
        <v>50</v>
      </c>
      <c r="B83">
        <v>2</v>
      </c>
      <c r="C83" s="1">
        <v>10</v>
      </c>
      <c r="D83">
        <v>1.1499999999999999</v>
      </c>
      <c r="E83">
        <v>5</v>
      </c>
      <c r="F83">
        <v>5</v>
      </c>
      <c r="G83">
        <v>0.90100000000000002</v>
      </c>
      <c r="H83">
        <v>0</v>
      </c>
      <c r="I83">
        <v>0</v>
      </c>
      <c r="J83" s="1">
        <v>1</v>
      </c>
      <c r="L83">
        <f t="shared" si="1"/>
        <v>0</v>
      </c>
    </row>
    <row r="84" spans="1:12" x14ac:dyDescent="0.3">
      <c r="A84">
        <v>50</v>
      </c>
      <c r="B84">
        <v>2</v>
      </c>
      <c r="C84" s="1">
        <v>20</v>
      </c>
      <c r="D84">
        <v>1.1499999999999999</v>
      </c>
      <c r="F84">
        <v>5</v>
      </c>
      <c r="G84">
        <v>3600</v>
      </c>
      <c r="H84">
        <v>0</v>
      </c>
      <c r="I84">
        <v>0</v>
      </c>
      <c r="J84" s="1">
        <v>2</v>
      </c>
      <c r="L84">
        <f t="shared" si="1"/>
        <v>100</v>
      </c>
    </row>
    <row r="85" spans="1:12" x14ac:dyDescent="0.3">
      <c r="A85">
        <v>50</v>
      </c>
      <c r="B85">
        <v>2</v>
      </c>
      <c r="C85" s="1">
        <v>30</v>
      </c>
      <c r="D85">
        <v>1.1499999999999999</v>
      </c>
      <c r="E85">
        <v>5</v>
      </c>
      <c r="F85">
        <v>5</v>
      </c>
      <c r="G85">
        <v>0.65</v>
      </c>
      <c r="H85">
        <v>0</v>
      </c>
      <c r="I85">
        <v>0</v>
      </c>
      <c r="J85" s="1">
        <v>1</v>
      </c>
      <c r="L85">
        <f t="shared" si="1"/>
        <v>0</v>
      </c>
    </row>
    <row r="86" spans="1:12" x14ac:dyDescent="0.3">
      <c r="A86">
        <v>50</v>
      </c>
      <c r="B86">
        <v>2</v>
      </c>
      <c r="C86" s="1">
        <v>40</v>
      </c>
      <c r="D86">
        <v>1.1499999999999999</v>
      </c>
      <c r="F86">
        <v>5</v>
      </c>
      <c r="G86">
        <v>3600</v>
      </c>
      <c r="H86">
        <v>0</v>
      </c>
      <c r="I86">
        <v>0</v>
      </c>
      <c r="J86" s="1">
        <v>2</v>
      </c>
      <c r="L86">
        <f t="shared" si="1"/>
        <v>100</v>
      </c>
    </row>
    <row r="87" spans="1:12" x14ac:dyDescent="0.3">
      <c r="A87">
        <v>50</v>
      </c>
      <c r="B87">
        <v>2</v>
      </c>
      <c r="C87" s="1">
        <v>50</v>
      </c>
      <c r="D87">
        <v>1.1499999999999999</v>
      </c>
      <c r="F87">
        <v>5</v>
      </c>
      <c r="G87">
        <v>3600</v>
      </c>
      <c r="H87">
        <v>0</v>
      </c>
      <c r="I87">
        <v>0</v>
      </c>
      <c r="J87" s="1">
        <v>2</v>
      </c>
      <c r="L87">
        <f t="shared" si="1"/>
        <v>100</v>
      </c>
    </row>
    <row r="88" spans="1:12" x14ac:dyDescent="0.3">
      <c r="A88">
        <v>50</v>
      </c>
      <c r="B88">
        <v>2</v>
      </c>
      <c r="C88" s="1">
        <v>60</v>
      </c>
      <c r="D88">
        <v>1.1499999999999999</v>
      </c>
      <c r="E88">
        <v>6</v>
      </c>
      <c r="F88">
        <v>5</v>
      </c>
      <c r="G88">
        <v>3600</v>
      </c>
      <c r="H88">
        <v>0</v>
      </c>
      <c r="I88">
        <v>0</v>
      </c>
      <c r="J88" s="1">
        <v>4</v>
      </c>
      <c r="L88">
        <f t="shared" si="1"/>
        <v>16.666666666666664</v>
      </c>
    </row>
    <row r="89" spans="1:12" x14ac:dyDescent="0.3">
      <c r="A89">
        <v>50</v>
      </c>
      <c r="B89">
        <v>2</v>
      </c>
      <c r="C89" s="1">
        <v>70</v>
      </c>
      <c r="D89">
        <v>1.1499999999999999</v>
      </c>
      <c r="F89">
        <v>5</v>
      </c>
      <c r="G89">
        <v>3600</v>
      </c>
      <c r="H89">
        <v>0</v>
      </c>
      <c r="I89">
        <v>0</v>
      </c>
      <c r="J89" s="1">
        <v>2</v>
      </c>
      <c r="L89">
        <f t="shared" si="1"/>
        <v>100</v>
      </c>
    </row>
    <row r="90" spans="1:12" x14ac:dyDescent="0.3">
      <c r="A90">
        <v>50</v>
      </c>
      <c r="B90">
        <v>2</v>
      </c>
      <c r="C90" s="1">
        <v>80</v>
      </c>
      <c r="D90">
        <v>1.1499999999999999</v>
      </c>
      <c r="E90">
        <v>6</v>
      </c>
      <c r="F90">
        <v>5</v>
      </c>
      <c r="G90">
        <v>3600</v>
      </c>
      <c r="H90">
        <v>0</v>
      </c>
      <c r="I90">
        <v>0</v>
      </c>
      <c r="J90" s="1">
        <v>4</v>
      </c>
      <c r="L90">
        <f t="shared" si="1"/>
        <v>16.666666666666664</v>
      </c>
    </row>
    <row r="91" spans="1:12" x14ac:dyDescent="0.3">
      <c r="A91">
        <v>50</v>
      </c>
      <c r="B91">
        <v>2</v>
      </c>
      <c r="C91" s="1">
        <v>90</v>
      </c>
      <c r="D91">
        <v>1.1499999999999999</v>
      </c>
      <c r="F91">
        <v>5</v>
      </c>
      <c r="G91">
        <v>3600</v>
      </c>
      <c r="H91">
        <v>0</v>
      </c>
      <c r="I91">
        <v>0</v>
      </c>
      <c r="J91" s="1">
        <v>2</v>
      </c>
      <c r="L91">
        <f t="shared" si="1"/>
        <v>100</v>
      </c>
    </row>
    <row r="92" spans="1:12" s="2" customFormat="1" x14ac:dyDescent="0.3">
      <c r="A92" s="2">
        <v>50</v>
      </c>
      <c r="B92" s="2">
        <v>2</v>
      </c>
      <c r="C92" s="3">
        <v>100</v>
      </c>
      <c r="D92" s="2">
        <v>1.1499999999999999</v>
      </c>
      <c r="E92" s="2">
        <v>5</v>
      </c>
      <c r="F92" s="2">
        <v>5</v>
      </c>
      <c r="G92" s="2">
        <v>1.55</v>
      </c>
      <c r="H92" s="2">
        <v>0</v>
      </c>
      <c r="I92" s="2">
        <v>0</v>
      </c>
      <c r="J92" s="3">
        <v>1</v>
      </c>
      <c r="K92" s="5">
        <f>AVERAGE(G83:G92)</f>
        <v>2520.3100999999997</v>
      </c>
      <c r="L92" s="2">
        <f t="shared" si="1"/>
        <v>0</v>
      </c>
    </row>
    <row r="93" spans="1:12" x14ac:dyDescent="0.3">
      <c r="A93">
        <v>50</v>
      </c>
      <c r="B93">
        <v>3</v>
      </c>
      <c r="C93" s="1">
        <v>10</v>
      </c>
      <c r="D93">
        <v>1.1499999999999999</v>
      </c>
      <c r="E93">
        <v>5</v>
      </c>
      <c r="F93">
        <v>4</v>
      </c>
      <c r="G93">
        <v>3600</v>
      </c>
      <c r="H93">
        <v>0</v>
      </c>
      <c r="I93">
        <v>0</v>
      </c>
      <c r="J93" s="1">
        <v>5</v>
      </c>
      <c r="L93">
        <f t="shared" si="1"/>
        <v>20</v>
      </c>
    </row>
    <row r="94" spans="1:12" x14ac:dyDescent="0.3">
      <c r="A94">
        <v>50</v>
      </c>
      <c r="B94">
        <v>3</v>
      </c>
      <c r="C94" s="1">
        <v>20</v>
      </c>
      <c r="D94">
        <v>1.1499999999999999</v>
      </c>
      <c r="F94">
        <v>4</v>
      </c>
      <c r="G94">
        <v>3600</v>
      </c>
      <c r="H94">
        <v>0</v>
      </c>
      <c r="I94">
        <v>0</v>
      </c>
      <c r="J94" s="1">
        <v>2</v>
      </c>
      <c r="L94">
        <f t="shared" si="1"/>
        <v>100</v>
      </c>
    </row>
    <row r="95" spans="1:12" x14ac:dyDescent="0.3">
      <c r="A95">
        <v>50</v>
      </c>
      <c r="B95">
        <v>3</v>
      </c>
      <c r="C95" s="1">
        <v>30</v>
      </c>
      <c r="D95">
        <v>1.1499999999999999</v>
      </c>
      <c r="E95">
        <v>4</v>
      </c>
      <c r="F95">
        <v>4</v>
      </c>
      <c r="G95">
        <v>0.39500000000000002</v>
      </c>
      <c r="H95">
        <v>0</v>
      </c>
      <c r="I95">
        <v>0</v>
      </c>
      <c r="J95" s="1">
        <v>1</v>
      </c>
      <c r="L95">
        <f t="shared" si="1"/>
        <v>0</v>
      </c>
    </row>
    <row r="96" spans="1:12" x14ac:dyDescent="0.3">
      <c r="A96">
        <v>50</v>
      </c>
      <c r="B96">
        <v>3</v>
      </c>
      <c r="C96" s="1">
        <v>40</v>
      </c>
      <c r="D96">
        <v>1.1499999999999999</v>
      </c>
      <c r="E96">
        <v>4</v>
      </c>
      <c r="F96">
        <v>4</v>
      </c>
      <c r="G96">
        <v>547.33299999999997</v>
      </c>
      <c r="H96">
        <v>0</v>
      </c>
      <c r="I96">
        <v>1</v>
      </c>
      <c r="J96" s="1">
        <v>7</v>
      </c>
      <c r="L96">
        <f t="shared" si="1"/>
        <v>0</v>
      </c>
    </row>
    <row r="97" spans="1:12" x14ac:dyDescent="0.3">
      <c r="A97">
        <v>50</v>
      </c>
      <c r="B97">
        <v>3</v>
      </c>
      <c r="C97" s="1">
        <v>50</v>
      </c>
      <c r="D97">
        <v>1.1499999999999999</v>
      </c>
      <c r="E97">
        <v>4</v>
      </c>
      <c r="F97">
        <v>4</v>
      </c>
      <c r="G97">
        <v>187.322</v>
      </c>
      <c r="H97">
        <v>0</v>
      </c>
      <c r="I97">
        <v>0</v>
      </c>
      <c r="J97" s="1">
        <v>4</v>
      </c>
      <c r="L97">
        <f t="shared" si="1"/>
        <v>0</v>
      </c>
    </row>
    <row r="98" spans="1:12" x14ac:dyDescent="0.3">
      <c r="A98">
        <v>50</v>
      </c>
      <c r="B98">
        <v>3</v>
      </c>
      <c r="C98" s="1">
        <v>60</v>
      </c>
      <c r="D98">
        <v>1.1499999999999999</v>
      </c>
      <c r="E98">
        <v>4</v>
      </c>
      <c r="F98">
        <v>4</v>
      </c>
      <c r="G98">
        <v>0.372</v>
      </c>
      <c r="H98">
        <v>0</v>
      </c>
      <c r="I98">
        <v>0</v>
      </c>
      <c r="J98" s="1">
        <v>1</v>
      </c>
      <c r="L98">
        <f t="shared" si="1"/>
        <v>0</v>
      </c>
    </row>
    <row r="99" spans="1:12" x14ac:dyDescent="0.3">
      <c r="A99">
        <v>50</v>
      </c>
      <c r="B99">
        <v>3</v>
      </c>
      <c r="C99" s="1">
        <v>70</v>
      </c>
      <c r="D99">
        <v>1.1499999999999999</v>
      </c>
      <c r="E99">
        <v>4</v>
      </c>
      <c r="F99">
        <v>4</v>
      </c>
      <c r="G99">
        <v>0.27600000000000002</v>
      </c>
      <c r="H99">
        <v>0</v>
      </c>
      <c r="I99">
        <v>0</v>
      </c>
      <c r="J99" s="1">
        <v>1</v>
      </c>
      <c r="L99">
        <f t="shared" si="1"/>
        <v>0</v>
      </c>
    </row>
    <row r="100" spans="1:12" x14ac:dyDescent="0.3">
      <c r="A100">
        <v>50</v>
      </c>
      <c r="B100">
        <v>3</v>
      </c>
      <c r="C100" s="1">
        <v>80</v>
      </c>
      <c r="D100">
        <v>1.1499999999999999</v>
      </c>
      <c r="F100">
        <v>4</v>
      </c>
      <c r="G100">
        <v>3600</v>
      </c>
      <c r="H100">
        <v>0</v>
      </c>
      <c r="I100">
        <v>0</v>
      </c>
      <c r="J100" s="1">
        <v>2</v>
      </c>
      <c r="L100">
        <f t="shared" si="1"/>
        <v>100</v>
      </c>
    </row>
    <row r="101" spans="1:12" x14ac:dyDescent="0.3">
      <c r="A101">
        <v>50</v>
      </c>
      <c r="B101">
        <v>3</v>
      </c>
      <c r="C101" s="1">
        <v>90</v>
      </c>
      <c r="D101">
        <v>1.1499999999999999</v>
      </c>
      <c r="F101">
        <v>4</v>
      </c>
      <c r="G101">
        <v>3600</v>
      </c>
      <c r="H101">
        <v>0</v>
      </c>
      <c r="I101">
        <v>0</v>
      </c>
      <c r="J101" s="1">
        <v>3</v>
      </c>
      <c r="L101">
        <f t="shared" si="1"/>
        <v>100</v>
      </c>
    </row>
    <row r="102" spans="1:12" s="2" customFormat="1" x14ac:dyDescent="0.3">
      <c r="A102" s="2">
        <v>50</v>
      </c>
      <c r="B102" s="2">
        <v>3</v>
      </c>
      <c r="C102" s="3">
        <v>100</v>
      </c>
      <c r="D102" s="2">
        <v>1.1499999999999999</v>
      </c>
      <c r="F102" s="2">
        <v>4</v>
      </c>
      <c r="G102" s="2">
        <v>3600</v>
      </c>
      <c r="H102" s="2">
        <v>0</v>
      </c>
      <c r="I102" s="2">
        <v>0</v>
      </c>
      <c r="J102" s="3">
        <v>2</v>
      </c>
      <c r="K102" s="5">
        <f>AVERAGE(G93:G102)</f>
        <v>1873.5698</v>
      </c>
      <c r="L102" s="2">
        <f t="shared" si="1"/>
        <v>100</v>
      </c>
    </row>
    <row r="103" spans="1:12" x14ac:dyDescent="0.3">
      <c r="A103">
        <v>50</v>
      </c>
      <c r="B103">
        <v>4</v>
      </c>
      <c r="C103" s="1">
        <v>10</v>
      </c>
      <c r="D103">
        <v>1.1499999999999999</v>
      </c>
      <c r="E103">
        <v>3</v>
      </c>
      <c r="F103">
        <v>3</v>
      </c>
      <c r="G103">
        <v>0.20300000000000001</v>
      </c>
      <c r="H103">
        <v>0</v>
      </c>
      <c r="I103">
        <v>0</v>
      </c>
      <c r="J103" s="1">
        <v>1</v>
      </c>
      <c r="L103">
        <f t="shared" si="1"/>
        <v>0</v>
      </c>
    </row>
    <row r="104" spans="1:12" x14ac:dyDescent="0.3">
      <c r="A104">
        <v>50</v>
      </c>
      <c r="B104">
        <v>4</v>
      </c>
      <c r="C104" s="1">
        <v>20</v>
      </c>
      <c r="D104">
        <v>1.1499999999999999</v>
      </c>
      <c r="E104">
        <v>3</v>
      </c>
      <c r="F104">
        <v>3</v>
      </c>
      <c r="G104">
        <v>0.23499999999999999</v>
      </c>
      <c r="H104">
        <v>0</v>
      </c>
      <c r="I104">
        <v>1</v>
      </c>
      <c r="J104" s="1">
        <v>1</v>
      </c>
      <c r="L104">
        <f t="shared" si="1"/>
        <v>0</v>
      </c>
    </row>
    <row r="105" spans="1:12" x14ac:dyDescent="0.3">
      <c r="A105">
        <v>50</v>
      </c>
      <c r="B105">
        <v>4</v>
      </c>
      <c r="C105" s="1">
        <v>30</v>
      </c>
      <c r="D105">
        <v>1.1499999999999999</v>
      </c>
      <c r="E105">
        <v>3</v>
      </c>
      <c r="F105">
        <v>3</v>
      </c>
      <c r="G105">
        <v>0.13500000000000001</v>
      </c>
      <c r="H105">
        <v>0</v>
      </c>
      <c r="I105">
        <v>0</v>
      </c>
      <c r="J105" s="1">
        <v>1</v>
      </c>
      <c r="L105">
        <f t="shared" si="1"/>
        <v>0</v>
      </c>
    </row>
    <row r="106" spans="1:12" x14ac:dyDescent="0.3">
      <c r="A106">
        <v>50</v>
      </c>
      <c r="B106">
        <v>4</v>
      </c>
      <c r="C106" s="1">
        <v>40</v>
      </c>
      <c r="D106">
        <v>1.1499999999999999</v>
      </c>
      <c r="E106">
        <v>3</v>
      </c>
      <c r="F106">
        <v>3</v>
      </c>
      <c r="G106">
        <v>0.17399999999999999</v>
      </c>
      <c r="H106">
        <v>0</v>
      </c>
      <c r="I106">
        <v>0</v>
      </c>
      <c r="J106" s="1">
        <v>1</v>
      </c>
      <c r="L106">
        <f t="shared" si="1"/>
        <v>0</v>
      </c>
    </row>
    <row r="107" spans="1:12" x14ac:dyDescent="0.3">
      <c r="A107">
        <v>50</v>
      </c>
      <c r="B107">
        <v>4</v>
      </c>
      <c r="C107" s="1">
        <v>50</v>
      </c>
      <c r="D107">
        <v>1.1499999999999999</v>
      </c>
      <c r="E107">
        <v>3</v>
      </c>
      <c r="F107">
        <v>3</v>
      </c>
      <c r="G107">
        <v>12.913</v>
      </c>
      <c r="H107">
        <v>0</v>
      </c>
      <c r="I107">
        <v>3</v>
      </c>
      <c r="J107" s="1">
        <v>2</v>
      </c>
      <c r="L107">
        <f t="shared" si="1"/>
        <v>0</v>
      </c>
    </row>
    <row r="108" spans="1:12" x14ac:dyDescent="0.3">
      <c r="A108">
        <v>50</v>
      </c>
      <c r="B108">
        <v>4</v>
      </c>
      <c r="C108" s="1">
        <v>60</v>
      </c>
      <c r="D108">
        <v>1.1499999999999999</v>
      </c>
      <c r="E108">
        <v>3</v>
      </c>
      <c r="F108">
        <v>3</v>
      </c>
      <c r="G108">
        <v>0.16800000000000001</v>
      </c>
      <c r="H108">
        <v>0</v>
      </c>
      <c r="I108">
        <v>1</v>
      </c>
      <c r="J108" s="1">
        <v>1</v>
      </c>
      <c r="L108">
        <f t="shared" si="1"/>
        <v>0</v>
      </c>
    </row>
    <row r="109" spans="1:12" x14ac:dyDescent="0.3">
      <c r="A109">
        <v>50</v>
      </c>
      <c r="B109">
        <v>4</v>
      </c>
      <c r="C109" s="1">
        <v>70</v>
      </c>
      <c r="D109">
        <v>1.1499999999999999</v>
      </c>
      <c r="E109">
        <v>3</v>
      </c>
      <c r="F109">
        <v>3</v>
      </c>
      <c r="G109">
        <v>0.154</v>
      </c>
      <c r="H109">
        <v>0</v>
      </c>
      <c r="I109">
        <v>0</v>
      </c>
      <c r="J109" s="1">
        <v>1</v>
      </c>
      <c r="L109">
        <f t="shared" si="1"/>
        <v>0</v>
      </c>
    </row>
    <row r="110" spans="1:12" x14ac:dyDescent="0.3">
      <c r="A110">
        <v>50</v>
      </c>
      <c r="B110">
        <v>4</v>
      </c>
      <c r="C110" s="1">
        <v>80</v>
      </c>
      <c r="D110">
        <v>1.1499999999999999</v>
      </c>
      <c r="E110">
        <v>3</v>
      </c>
      <c r="F110">
        <v>3</v>
      </c>
      <c r="G110">
        <v>0.156</v>
      </c>
      <c r="H110">
        <v>0</v>
      </c>
      <c r="I110">
        <v>0</v>
      </c>
      <c r="J110" s="1">
        <v>1</v>
      </c>
      <c r="L110">
        <f t="shared" si="1"/>
        <v>0</v>
      </c>
    </row>
    <row r="111" spans="1:12" x14ac:dyDescent="0.3">
      <c r="A111">
        <v>50</v>
      </c>
      <c r="B111">
        <v>4</v>
      </c>
      <c r="C111" s="1">
        <v>90</v>
      </c>
      <c r="D111">
        <v>1.1499999999999999</v>
      </c>
      <c r="E111">
        <v>3</v>
      </c>
      <c r="F111">
        <v>3</v>
      </c>
      <c r="G111">
        <v>0.14099999999999999</v>
      </c>
      <c r="H111">
        <v>0</v>
      </c>
      <c r="I111">
        <v>0</v>
      </c>
      <c r="J111" s="1">
        <v>1</v>
      </c>
      <c r="L111">
        <f t="shared" si="1"/>
        <v>0</v>
      </c>
    </row>
    <row r="112" spans="1:12" s="2" customFormat="1" x14ac:dyDescent="0.3">
      <c r="A112" s="2">
        <v>50</v>
      </c>
      <c r="B112" s="2">
        <v>4</v>
      </c>
      <c r="C112" s="3">
        <v>100</v>
      </c>
      <c r="D112" s="2">
        <v>1.1499999999999999</v>
      </c>
      <c r="E112" s="2">
        <v>3</v>
      </c>
      <c r="F112" s="2">
        <v>3</v>
      </c>
      <c r="G112" s="2">
        <v>0.13800000000000001</v>
      </c>
      <c r="H112" s="2">
        <v>0</v>
      </c>
      <c r="I112" s="2">
        <v>0</v>
      </c>
      <c r="J112" s="3">
        <v>1</v>
      </c>
      <c r="K112" s="5">
        <f>AVERAGE(G103:G112)</f>
        <v>1.4417</v>
      </c>
      <c r="L112" s="2">
        <f t="shared" si="1"/>
        <v>0</v>
      </c>
    </row>
    <row r="113" spans="1:12" x14ac:dyDescent="0.3">
      <c r="A113">
        <v>50</v>
      </c>
      <c r="B113">
        <v>5</v>
      </c>
      <c r="C113" s="1">
        <v>10</v>
      </c>
      <c r="D113">
        <v>1.1499999999999999</v>
      </c>
      <c r="E113">
        <v>2</v>
      </c>
      <c r="F113">
        <v>2</v>
      </c>
      <c r="G113">
        <v>8.8230000000000004</v>
      </c>
      <c r="H113">
        <v>0</v>
      </c>
      <c r="I113">
        <v>2</v>
      </c>
      <c r="J113" s="1">
        <v>2</v>
      </c>
      <c r="L113">
        <f t="shared" si="1"/>
        <v>0</v>
      </c>
    </row>
    <row r="114" spans="1:12" x14ac:dyDescent="0.3">
      <c r="A114">
        <v>50</v>
      </c>
      <c r="B114">
        <v>5</v>
      </c>
      <c r="C114" s="1">
        <v>20</v>
      </c>
      <c r="D114">
        <v>1.1499999999999999</v>
      </c>
      <c r="E114">
        <v>2</v>
      </c>
      <c r="F114">
        <v>2</v>
      </c>
      <c r="G114">
        <v>11.08</v>
      </c>
      <c r="H114">
        <v>0</v>
      </c>
      <c r="I114">
        <v>2</v>
      </c>
      <c r="J114" s="1">
        <v>3</v>
      </c>
      <c r="L114">
        <f t="shared" si="1"/>
        <v>0</v>
      </c>
    </row>
    <row r="115" spans="1:12" x14ac:dyDescent="0.3">
      <c r="A115">
        <v>50</v>
      </c>
      <c r="B115">
        <v>5</v>
      </c>
      <c r="C115" s="1">
        <v>30</v>
      </c>
      <c r="D115">
        <v>1.1499999999999999</v>
      </c>
      <c r="E115">
        <v>2</v>
      </c>
      <c r="F115">
        <v>2</v>
      </c>
      <c r="G115">
        <v>0.14499999999999999</v>
      </c>
      <c r="H115">
        <v>0</v>
      </c>
      <c r="I115">
        <v>0</v>
      </c>
      <c r="J115" s="1">
        <v>1</v>
      </c>
      <c r="L115">
        <f t="shared" si="1"/>
        <v>0</v>
      </c>
    </row>
    <row r="116" spans="1:12" x14ac:dyDescent="0.3">
      <c r="A116">
        <v>50</v>
      </c>
      <c r="B116">
        <v>5</v>
      </c>
      <c r="C116" s="1">
        <v>40</v>
      </c>
      <c r="D116">
        <v>1.1499999999999999</v>
      </c>
      <c r="E116">
        <v>2</v>
      </c>
      <c r="F116">
        <v>2</v>
      </c>
      <c r="G116">
        <v>7.9669999999999996</v>
      </c>
      <c r="H116">
        <v>0</v>
      </c>
      <c r="I116">
        <v>5</v>
      </c>
      <c r="J116" s="1">
        <v>3</v>
      </c>
      <c r="L116">
        <f t="shared" si="1"/>
        <v>0</v>
      </c>
    </row>
    <row r="117" spans="1:12" x14ac:dyDescent="0.3">
      <c r="A117">
        <v>50</v>
      </c>
      <c r="B117">
        <v>5</v>
      </c>
      <c r="C117" s="1">
        <v>50</v>
      </c>
      <c r="D117">
        <v>1.1499999999999999</v>
      </c>
      <c r="E117">
        <v>2</v>
      </c>
      <c r="F117">
        <v>2</v>
      </c>
      <c r="G117">
        <v>3.7010000000000001</v>
      </c>
      <c r="H117">
        <v>0</v>
      </c>
      <c r="I117">
        <v>2</v>
      </c>
      <c r="J117" s="1">
        <v>2</v>
      </c>
      <c r="L117">
        <f t="shared" si="1"/>
        <v>0</v>
      </c>
    </row>
    <row r="118" spans="1:12" x14ac:dyDescent="0.3">
      <c r="A118">
        <v>50</v>
      </c>
      <c r="B118">
        <v>5</v>
      </c>
      <c r="C118" s="1">
        <v>60</v>
      </c>
      <c r="D118">
        <v>1.1499999999999999</v>
      </c>
      <c r="E118">
        <v>2</v>
      </c>
      <c r="F118">
        <v>2</v>
      </c>
      <c r="G118">
        <v>2.7170000000000001</v>
      </c>
      <c r="H118">
        <v>0</v>
      </c>
      <c r="I118">
        <v>2</v>
      </c>
      <c r="J118" s="1">
        <v>3</v>
      </c>
      <c r="L118">
        <f t="shared" si="1"/>
        <v>0</v>
      </c>
    </row>
    <row r="119" spans="1:12" x14ac:dyDescent="0.3">
      <c r="A119">
        <v>50</v>
      </c>
      <c r="B119">
        <v>5</v>
      </c>
      <c r="C119" s="1">
        <v>70</v>
      </c>
      <c r="D119">
        <v>1.1499999999999999</v>
      </c>
      <c r="E119">
        <v>2</v>
      </c>
      <c r="F119">
        <v>2</v>
      </c>
      <c r="G119">
        <v>0.11899999999999999</v>
      </c>
      <c r="H119">
        <v>0</v>
      </c>
      <c r="I119">
        <v>0</v>
      </c>
      <c r="J119" s="1">
        <v>1</v>
      </c>
      <c r="L119">
        <f t="shared" si="1"/>
        <v>0</v>
      </c>
    </row>
    <row r="120" spans="1:12" x14ac:dyDescent="0.3">
      <c r="A120">
        <v>50</v>
      </c>
      <c r="B120">
        <v>5</v>
      </c>
      <c r="C120" s="1">
        <v>80</v>
      </c>
      <c r="D120">
        <v>1.1499999999999999</v>
      </c>
      <c r="E120">
        <v>2</v>
      </c>
      <c r="F120">
        <v>2</v>
      </c>
      <c r="G120">
        <v>4.46</v>
      </c>
      <c r="H120">
        <v>0</v>
      </c>
      <c r="I120">
        <v>1</v>
      </c>
      <c r="J120" s="1">
        <v>2</v>
      </c>
      <c r="L120">
        <f t="shared" si="1"/>
        <v>0</v>
      </c>
    </row>
    <row r="121" spans="1:12" x14ac:dyDescent="0.3">
      <c r="A121">
        <v>50</v>
      </c>
      <c r="B121">
        <v>5</v>
      </c>
      <c r="C121" s="1">
        <v>90</v>
      </c>
      <c r="D121">
        <v>1.1499999999999999</v>
      </c>
      <c r="E121">
        <v>3</v>
      </c>
      <c r="F121">
        <v>3</v>
      </c>
      <c r="G121">
        <v>146.76599999999999</v>
      </c>
      <c r="H121">
        <v>0</v>
      </c>
      <c r="I121">
        <v>5</v>
      </c>
      <c r="J121" s="1">
        <v>5</v>
      </c>
      <c r="L121">
        <f t="shared" si="1"/>
        <v>0</v>
      </c>
    </row>
    <row r="122" spans="1:12" s="2" customFormat="1" x14ac:dyDescent="0.3">
      <c r="A122" s="2">
        <v>50</v>
      </c>
      <c r="B122" s="2">
        <v>5</v>
      </c>
      <c r="C122" s="3">
        <v>100</v>
      </c>
      <c r="D122" s="2">
        <v>1.1499999999999999</v>
      </c>
      <c r="E122" s="2">
        <v>3</v>
      </c>
      <c r="F122" s="2">
        <v>3</v>
      </c>
      <c r="G122" s="2">
        <v>13.638</v>
      </c>
      <c r="H122" s="2">
        <v>0</v>
      </c>
      <c r="I122" s="2">
        <v>8</v>
      </c>
      <c r="J122" s="3">
        <v>5</v>
      </c>
      <c r="K122" s="5">
        <f>AVERAGE(G113:G122)</f>
        <v>19.941600000000001</v>
      </c>
      <c r="L122" s="2">
        <f t="shared" si="1"/>
        <v>0</v>
      </c>
    </row>
    <row r="123" spans="1:12" x14ac:dyDescent="0.3">
      <c r="A123">
        <v>60</v>
      </c>
      <c r="B123">
        <v>2</v>
      </c>
      <c r="C123" s="1">
        <v>10</v>
      </c>
      <c r="D123">
        <v>1.1499999999999999</v>
      </c>
      <c r="F123">
        <v>6</v>
      </c>
      <c r="G123">
        <v>3600</v>
      </c>
      <c r="H123">
        <v>0</v>
      </c>
      <c r="I123">
        <v>0</v>
      </c>
      <c r="J123" s="1">
        <v>2</v>
      </c>
      <c r="L123">
        <f t="shared" si="1"/>
        <v>100</v>
      </c>
    </row>
    <row r="124" spans="1:12" x14ac:dyDescent="0.3">
      <c r="A124">
        <v>60</v>
      </c>
      <c r="B124">
        <v>2</v>
      </c>
      <c r="C124" s="1">
        <v>20</v>
      </c>
      <c r="D124">
        <v>1.1499999999999999</v>
      </c>
      <c r="E124">
        <v>7</v>
      </c>
      <c r="F124">
        <v>6</v>
      </c>
      <c r="G124">
        <v>3600</v>
      </c>
      <c r="H124">
        <v>0</v>
      </c>
      <c r="I124">
        <v>0</v>
      </c>
      <c r="J124" s="1">
        <v>9</v>
      </c>
      <c r="L124">
        <f t="shared" si="1"/>
        <v>14.285714285714285</v>
      </c>
    </row>
    <row r="125" spans="1:12" x14ac:dyDescent="0.3">
      <c r="A125">
        <v>60</v>
      </c>
      <c r="B125">
        <v>2</v>
      </c>
      <c r="C125" s="1">
        <v>30</v>
      </c>
      <c r="D125">
        <v>1.1499999999999999</v>
      </c>
      <c r="F125">
        <v>6</v>
      </c>
      <c r="G125">
        <v>3600</v>
      </c>
      <c r="H125">
        <v>0</v>
      </c>
      <c r="I125">
        <v>0</v>
      </c>
      <c r="J125" s="1">
        <v>2</v>
      </c>
      <c r="L125">
        <f t="shared" si="1"/>
        <v>100</v>
      </c>
    </row>
    <row r="126" spans="1:12" x14ac:dyDescent="0.3">
      <c r="A126">
        <v>60</v>
      </c>
      <c r="B126">
        <v>2</v>
      </c>
      <c r="C126" s="1">
        <v>40</v>
      </c>
      <c r="D126">
        <v>1.1499999999999999</v>
      </c>
      <c r="E126">
        <v>6</v>
      </c>
      <c r="F126">
        <v>6</v>
      </c>
      <c r="G126">
        <v>8.4280000000000008</v>
      </c>
      <c r="H126">
        <v>0</v>
      </c>
      <c r="I126">
        <v>0</v>
      </c>
      <c r="J126" s="1">
        <v>1</v>
      </c>
      <c r="L126">
        <f t="shared" si="1"/>
        <v>0</v>
      </c>
    </row>
    <row r="127" spans="1:12" x14ac:dyDescent="0.3">
      <c r="A127">
        <v>60</v>
      </c>
      <c r="B127">
        <v>2</v>
      </c>
      <c r="C127" s="1">
        <v>50</v>
      </c>
      <c r="D127">
        <v>1.1499999999999999</v>
      </c>
      <c r="E127">
        <v>6</v>
      </c>
      <c r="F127">
        <v>6</v>
      </c>
      <c r="G127">
        <v>178.917</v>
      </c>
      <c r="H127">
        <v>0</v>
      </c>
      <c r="I127">
        <v>0</v>
      </c>
      <c r="J127" s="1">
        <v>2</v>
      </c>
      <c r="L127">
        <f t="shared" si="1"/>
        <v>0</v>
      </c>
    </row>
    <row r="128" spans="1:12" x14ac:dyDescent="0.3">
      <c r="A128">
        <v>60</v>
      </c>
      <c r="B128">
        <v>2</v>
      </c>
      <c r="C128" s="1">
        <v>60</v>
      </c>
      <c r="D128">
        <v>1.1499999999999999</v>
      </c>
      <c r="E128">
        <v>6</v>
      </c>
      <c r="F128">
        <v>6</v>
      </c>
      <c r="G128">
        <v>2.7309999999999999</v>
      </c>
      <c r="H128">
        <v>0</v>
      </c>
      <c r="I128">
        <v>0</v>
      </c>
      <c r="J128" s="1">
        <v>1</v>
      </c>
      <c r="L128">
        <f t="shared" si="1"/>
        <v>0</v>
      </c>
    </row>
    <row r="129" spans="1:12" x14ac:dyDescent="0.3">
      <c r="A129">
        <v>60</v>
      </c>
      <c r="B129">
        <v>2</v>
      </c>
      <c r="C129" s="1">
        <v>70</v>
      </c>
      <c r="D129">
        <v>1.1499999999999999</v>
      </c>
      <c r="E129">
        <v>6</v>
      </c>
      <c r="F129">
        <v>6</v>
      </c>
      <c r="G129">
        <v>5.4219999999999997</v>
      </c>
      <c r="H129">
        <v>0</v>
      </c>
      <c r="I129">
        <v>0</v>
      </c>
      <c r="J129" s="1">
        <v>1</v>
      </c>
      <c r="L129">
        <f t="shared" si="1"/>
        <v>0</v>
      </c>
    </row>
    <row r="130" spans="1:12" x14ac:dyDescent="0.3">
      <c r="A130">
        <v>60</v>
      </c>
      <c r="B130">
        <v>2</v>
      </c>
      <c r="C130" s="1">
        <v>80</v>
      </c>
      <c r="D130">
        <v>1.1499999999999999</v>
      </c>
      <c r="F130">
        <v>6</v>
      </c>
      <c r="G130">
        <v>3600</v>
      </c>
      <c r="H130">
        <v>0</v>
      </c>
      <c r="I130">
        <v>0</v>
      </c>
      <c r="J130" s="1">
        <v>2</v>
      </c>
      <c r="L130">
        <f t="shared" si="1"/>
        <v>100</v>
      </c>
    </row>
    <row r="131" spans="1:12" x14ac:dyDescent="0.3">
      <c r="A131">
        <v>60</v>
      </c>
      <c r="B131">
        <v>2</v>
      </c>
      <c r="C131" s="1">
        <v>90</v>
      </c>
      <c r="D131">
        <v>1.1499999999999999</v>
      </c>
      <c r="E131">
        <v>6</v>
      </c>
      <c r="F131">
        <v>6</v>
      </c>
      <c r="G131">
        <v>2.645</v>
      </c>
      <c r="H131">
        <v>0</v>
      </c>
      <c r="I131">
        <v>0</v>
      </c>
      <c r="J131" s="1">
        <v>1</v>
      </c>
      <c r="L131">
        <f t="shared" ref="L131:L194" si="2">IF(ISBLANK(E131),IF(ISBLANK(F131),"",100), IF(E131+F131=0, 0, IF(G131=3600, IF(E131=F131,1,(E131-F131)/E131*100), 0)))</f>
        <v>0</v>
      </c>
    </row>
    <row r="132" spans="1:12" s="2" customFormat="1" x14ac:dyDescent="0.3">
      <c r="A132" s="2">
        <v>60</v>
      </c>
      <c r="B132" s="2">
        <v>2</v>
      </c>
      <c r="C132" s="3">
        <v>100</v>
      </c>
      <c r="D132" s="2">
        <v>1.1499999999999999</v>
      </c>
      <c r="F132" s="2">
        <v>6</v>
      </c>
      <c r="G132" s="2">
        <v>3600</v>
      </c>
      <c r="H132" s="2">
        <v>0</v>
      </c>
      <c r="I132" s="2">
        <v>0</v>
      </c>
      <c r="J132" s="3">
        <v>2</v>
      </c>
      <c r="K132" s="5">
        <f>AVERAGE(G123:G132)</f>
        <v>1819.8143</v>
      </c>
      <c r="L132" s="2">
        <f t="shared" si="2"/>
        <v>100</v>
      </c>
    </row>
    <row r="133" spans="1:12" x14ac:dyDescent="0.3">
      <c r="A133">
        <v>60</v>
      </c>
      <c r="B133">
        <v>3</v>
      </c>
      <c r="C133" s="1">
        <v>10</v>
      </c>
      <c r="D133">
        <v>1.1499999999999999</v>
      </c>
      <c r="E133">
        <v>5</v>
      </c>
      <c r="F133">
        <v>5</v>
      </c>
      <c r="G133">
        <v>0.625</v>
      </c>
      <c r="H133">
        <v>0</v>
      </c>
      <c r="I133">
        <v>0</v>
      </c>
      <c r="J133" s="1">
        <v>1</v>
      </c>
      <c r="L133">
        <f t="shared" si="2"/>
        <v>0</v>
      </c>
    </row>
    <row r="134" spans="1:12" x14ac:dyDescent="0.3">
      <c r="A134">
        <v>60</v>
      </c>
      <c r="B134">
        <v>3</v>
      </c>
      <c r="C134" s="1">
        <v>20</v>
      </c>
      <c r="D134">
        <v>1.1499999999999999</v>
      </c>
      <c r="E134">
        <v>5</v>
      </c>
      <c r="F134">
        <v>5</v>
      </c>
      <c r="G134">
        <v>910.29300000000001</v>
      </c>
      <c r="H134">
        <v>0</v>
      </c>
      <c r="I134">
        <v>0</v>
      </c>
      <c r="J134" s="1">
        <v>7</v>
      </c>
      <c r="L134">
        <f t="shared" si="2"/>
        <v>0</v>
      </c>
    </row>
    <row r="135" spans="1:12" x14ac:dyDescent="0.3">
      <c r="A135">
        <v>60</v>
      </c>
      <c r="B135">
        <v>3</v>
      </c>
      <c r="C135" s="1">
        <v>30</v>
      </c>
      <c r="D135">
        <v>1.1499999999999999</v>
      </c>
      <c r="F135">
        <v>5</v>
      </c>
      <c r="G135">
        <v>3600</v>
      </c>
      <c r="H135">
        <v>0</v>
      </c>
      <c r="I135">
        <v>0</v>
      </c>
      <c r="J135" s="1">
        <v>2</v>
      </c>
      <c r="L135">
        <f t="shared" si="2"/>
        <v>100</v>
      </c>
    </row>
    <row r="136" spans="1:12" x14ac:dyDescent="0.3">
      <c r="A136">
        <v>60</v>
      </c>
      <c r="B136">
        <v>3</v>
      </c>
      <c r="C136" s="1">
        <v>40</v>
      </c>
      <c r="D136">
        <v>1.1499999999999999</v>
      </c>
      <c r="E136">
        <v>5</v>
      </c>
      <c r="F136">
        <v>5</v>
      </c>
      <c r="G136">
        <v>0.38800000000000001</v>
      </c>
      <c r="H136">
        <v>0</v>
      </c>
      <c r="I136">
        <v>0</v>
      </c>
      <c r="J136" s="1">
        <v>1</v>
      </c>
      <c r="L136">
        <f t="shared" si="2"/>
        <v>0</v>
      </c>
    </row>
    <row r="137" spans="1:12" x14ac:dyDescent="0.3">
      <c r="A137">
        <v>60</v>
      </c>
      <c r="B137">
        <v>3</v>
      </c>
      <c r="C137" s="1">
        <v>50</v>
      </c>
      <c r="D137">
        <v>1.1499999999999999</v>
      </c>
      <c r="F137">
        <v>5</v>
      </c>
      <c r="G137">
        <v>3600</v>
      </c>
      <c r="H137">
        <v>0</v>
      </c>
      <c r="I137">
        <v>0</v>
      </c>
      <c r="J137" s="1">
        <v>2</v>
      </c>
      <c r="L137">
        <f t="shared" si="2"/>
        <v>100</v>
      </c>
    </row>
    <row r="138" spans="1:12" x14ac:dyDescent="0.3">
      <c r="A138">
        <v>60</v>
      </c>
      <c r="B138">
        <v>3</v>
      </c>
      <c r="C138" s="1">
        <v>60</v>
      </c>
      <c r="D138">
        <v>1.1499999999999999</v>
      </c>
      <c r="E138">
        <v>5</v>
      </c>
      <c r="F138">
        <v>5</v>
      </c>
      <c r="G138">
        <v>1.0489999999999999</v>
      </c>
      <c r="H138">
        <v>0</v>
      </c>
      <c r="I138">
        <v>0</v>
      </c>
      <c r="J138" s="1">
        <v>2</v>
      </c>
      <c r="L138">
        <f t="shared" si="2"/>
        <v>0</v>
      </c>
    </row>
    <row r="139" spans="1:12" x14ac:dyDescent="0.3">
      <c r="A139">
        <v>60</v>
      </c>
      <c r="B139">
        <v>3</v>
      </c>
      <c r="C139" s="1">
        <v>70</v>
      </c>
      <c r="D139">
        <v>1.1499999999999999</v>
      </c>
      <c r="E139">
        <v>5</v>
      </c>
      <c r="F139">
        <v>5</v>
      </c>
      <c r="G139">
        <v>0.28399999999999997</v>
      </c>
      <c r="H139">
        <v>0</v>
      </c>
      <c r="I139">
        <v>0</v>
      </c>
      <c r="J139" s="1">
        <v>1</v>
      </c>
      <c r="L139">
        <f t="shared" si="2"/>
        <v>0</v>
      </c>
    </row>
    <row r="140" spans="1:12" x14ac:dyDescent="0.3">
      <c r="A140">
        <v>60</v>
      </c>
      <c r="B140">
        <v>3</v>
      </c>
      <c r="C140" s="1">
        <v>80</v>
      </c>
      <c r="D140">
        <v>1.1499999999999999</v>
      </c>
      <c r="E140">
        <v>5</v>
      </c>
      <c r="F140">
        <v>5</v>
      </c>
      <c r="G140">
        <v>364.51299999999998</v>
      </c>
      <c r="H140">
        <v>0</v>
      </c>
      <c r="I140">
        <v>0</v>
      </c>
      <c r="J140" s="1">
        <v>4</v>
      </c>
      <c r="L140">
        <f t="shared" si="2"/>
        <v>0</v>
      </c>
    </row>
    <row r="141" spans="1:12" x14ac:dyDescent="0.3">
      <c r="A141">
        <v>60</v>
      </c>
      <c r="B141">
        <v>3</v>
      </c>
      <c r="C141" s="1">
        <v>90</v>
      </c>
      <c r="D141">
        <v>1.1499999999999999</v>
      </c>
      <c r="E141">
        <v>5</v>
      </c>
      <c r="F141">
        <v>5</v>
      </c>
      <c r="G141">
        <v>182.54400000000001</v>
      </c>
      <c r="H141">
        <v>0</v>
      </c>
      <c r="I141">
        <v>0</v>
      </c>
      <c r="J141" s="1">
        <v>3</v>
      </c>
      <c r="L141">
        <f t="shared" si="2"/>
        <v>0</v>
      </c>
    </row>
    <row r="142" spans="1:12" s="2" customFormat="1" x14ac:dyDescent="0.3">
      <c r="A142" s="2">
        <v>60</v>
      </c>
      <c r="B142" s="2">
        <v>3</v>
      </c>
      <c r="C142" s="3">
        <v>100</v>
      </c>
      <c r="D142" s="2">
        <v>1.1499999999999999</v>
      </c>
      <c r="E142" s="2">
        <v>5</v>
      </c>
      <c r="F142" s="2">
        <v>5</v>
      </c>
      <c r="G142" s="2">
        <v>0.41399999999999998</v>
      </c>
      <c r="H142" s="2">
        <v>0</v>
      </c>
      <c r="I142" s="2">
        <v>0</v>
      </c>
      <c r="J142" s="3">
        <v>1</v>
      </c>
      <c r="K142" s="5">
        <f>AVERAGE(G133:G142)</f>
        <v>866.01100000000008</v>
      </c>
      <c r="L142" s="2">
        <f t="shared" si="2"/>
        <v>0</v>
      </c>
    </row>
    <row r="143" spans="1:12" x14ac:dyDescent="0.3">
      <c r="A143">
        <v>60</v>
      </c>
      <c r="B143">
        <v>4</v>
      </c>
      <c r="C143" s="1">
        <v>10</v>
      </c>
      <c r="D143">
        <v>1.1499999999999999</v>
      </c>
      <c r="F143">
        <v>4</v>
      </c>
      <c r="G143">
        <v>3600</v>
      </c>
      <c r="H143">
        <v>0</v>
      </c>
      <c r="I143">
        <v>0</v>
      </c>
      <c r="J143" s="1">
        <v>2</v>
      </c>
      <c r="L143">
        <f t="shared" si="2"/>
        <v>100</v>
      </c>
    </row>
    <row r="144" spans="1:12" x14ac:dyDescent="0.3">
      <c r="A144">
        <v>60</v>
      </c>
      <c r="B144">
        <v>4</v>
      </c>
      <c r="C144" s="1">
        <v>20</v>
      </c>
      <c r="D144">
        <v>1.1499999999999999</v>
      </c>
      <c r="E144">
        <v>4</v>
      </c>
      <c r="F144">
        <v>4</v>
      </c>
      <c r="G144">
        <v>2.9449999999999998</v>
      </c>
      <c r="H144">
        <v>0</v>
      </c>
      <c r="I144">
        <v>0</v>
      </c>
      <c r="J144" s="1">
        <v>2</v>
      </c>
      <c r="L144">
        <f t="shared" si="2"/>
        <v>0</v>
      </c>
    </row>
    <row r="145" spans="1:12" x14ac:dyDescent="0.3">
      <c r="A145">
        <v>60</v>
      </c>
      <c r="B145">
        <v>4</v>
      </c>
      <c r="C145" s="1">
        <v>30</v>
      </c>
      <c r="D145">
        <v>1.1499999999999999</v>
      </c>
      <c r="E145">
        <v>4</v>
      </c>
      <c r="F145">
        <v>4</v>
      </c>
      <c r="G145">
        <v>0.311</v>
      </c>
      <c r="H145">
        <v>0</v>
      </c>
      <c r="I145">
        <v>0</v>
      </c>
      <c r="J145" s="1">
        <v>1</v>
      </c>
      <c r="L145">
        <f t="shared" si="2"/>
        <v>0</v>
      </c>
    </row>
    <row r="146" spans="1:12" x14ac:dyDescent="0.3">
      <c r="A146">
        <v>60</v>
      </c>
      <c r="B146">
        <v>4</v>
      </c>
      <c r="C146" s="1">
        <v>40</v>
      </c>
      <c r="D146">
        <v>1.1499999999999999</v>
      </c>
      <c r="F146">
        <v>4</v>
      </c>
      <c r="G146">
        <v>3600</v>
      </c>
      <c r="H146">
        <v>0</v>
      </c>
      <c r="I146">
        <v>0</v>
      </c>
      <c r="J146" s="1">
        <v>2</v>
      </c>
      <c r="L146">
        <f t="shared" si="2"/>
        <v>100</v>
      </c>
    </row>
    <row r="147" spans="1:12" x14ac:dyDescent="0.3">
      <c r="A147">
        <v>60</v>
      </c>
      <c r="B147">
        <v>4</v>
      </c>
      <c r="C147" s="1">
        <v>50</v>
      </c>
      <c r="D147">
        <v>1.1499999999999999</v>
      </c>
      <c r="F147">
        <v>4</v>
      </c>
      <c r="G147">
        <v>3600</v>
      </c>
      <c r="H147">
        <v>0</v>
      </c>
      <c r="I147">
        <v>0</v>
      </c>
      <c r="J147" s="1">
        <v>2</v>
      </c>
      <c r="L147">
        <f t="shared" si="2"/>
        <v>100</v>
      </c>
    </row>
    <row r="148" spans="1:12" x14ac:dyDescent="0.3">
      <c r="A148">
        <v>60</v>
      </c>
      <c r="B148">
        <v>4</v>
      </c>
      <c r="C148" s="1">
        <v>60</v>
      </c>
      <c r="D148">
        <v>1.1499999999999999</v>
      </c>
      <c r="E148">
        <v>4</v>
      </c>
      <c r="F148">
        <v>4</v>
      </c>
      <c r="G148">
        <v>0.24199999999999999</v>
      </c>
      <c r="H148">
        <v>0</v>
      </c>
      <c r="I148">
        <v>0</v>
      </c>
      <c r="J148" s="1">
        <v>1</v>
      </c>
      <c r="L148">
        <f t="shared" si="2"/>
        <v>0</v>
      </c>
    </row>
    <row r="149" spans="1:12" x14ac:dyDescent="0.3">
      <c r="A149">
        <v>60</v>
      </c>
      <c r="B149">
        <v>4</v>
      </c>
      <c r="C149" s="1">
        <v>70</v>
      </c>
      <c r="D149">
        <v>1.1499999999999999</v>
      </c>
      <c r="E149">
        <v>4</v>
      </c>
      <c r="F149">
        <v>4</v>
      </c>
      <c r="G149">
        <v>0.41399999999999998</v>
      </c>
      <c r="H149">
        <v>0</v>
      </c>
      <c r="I149">
        <v>0</v>
      </c>
      <c r="J149" s="1">
        <v>1</v>
      </c>
      <c r="L149">
        <f t="shared" si="2"/>
        <v>0</v>
      </c>
    </row>
    <row r="150" spans="1:12" x14ac:dyDescent="0.3">
      <c r="A150">
        <v>60</v>
      </c>
      <c r="B150">
        <v>4</v>
      </c>
      <c r="C150" s="1">
        <v>80</v>
      </c>
      <c r="D150">
        <v>1.1499999999999999</v>
      </c>
      <c r="E150">
        <v>4</v>
      </c>
      <c r="F150">
        <v>4</v>
      </c>
      <c r="G150">
        <v>0.191</v>
      </c>
      <c r="H150">
        <v>0</v>
      </c>
      <c r="I150">
        <v>0</v>
      </c>
      <c r="J150" s="1">
        <v>1</v>
      </c>
      <c r="L150">
        <f t="shared" si="2"/>
        <v>0</v>
      </c>
    </row>
    <row r="151" spans="1:12" x14ac:dyDescent="0.3">
      <c r="A151">
        <v>60</v>
      </c>
      <c r="B151">
        <v>4</v>
      </c>
      <c r="C151" s="1">
        <v>90</v>
      </c>
      <c r="D151">
        <v>1.1499999999999999</v>
      </c>
      <c r="E151">
        <v>4</v>
      </c>
      <c r="F151">
        <v>4</v>
      </c>
      <c r="G151">
        <v>0.161</v>
      </c>
      <c r="H151">
        <v>0</v>
      </c>
      <c r="I151">
        <v>0</v>
      </c>
      <c r="J151" s="1">
        <v>1</v>
      </c>
      <c r="L151">
        <f t="shared" si="2"/>
        <v>0</v>
      </c>
    </row>
    <row r="152" spans="1:12" s="2" customFormat="1" x14ac:dyDescent="0.3">
      <c r="A152" s="2">
        <v>60</v>
      </c>
      <c r="B152" s="2">
        <v>4</v>
      </c>
      <c r="C152" s="3">
        <v>100</v>
      </c>
      <c r="D152" s="2">
        <v>1.1499999999999999</v>
      </c>
      <c r="F152" s="2">
        <v>4</v>
      </c>
      <c r="G152" s="2">
        <v>3600</v>
      </c>
      <c r="H152" s="2">
        <v>0</v>
      </c>
      <c r="I152" s="2">
        <v>0</v>
      </c>
      <c r="J152" s="3">
        <v>2</v>
      </c>
      <c r="K152" s="5">
        <f>AVERAGE(G143:G152)</f>
        <v>1440.4264000000003</v>
      </c>
      <c r="L152" s="2">
        <f t="shared" si="2"/>
        <v>100</v>
      </c>
    </row>
    <row r="153" spans="1:12" x14ac:dyDescent="0.3">
      <c r="A153">
        <v>60</v>
      </c>
      <c r="B153">
        <v>5</v>
      </c>
      <c r="C153" s="1">
        <v>10</v>
      </c>
      <c r="D153">
        <v>1.1499999999999999</v>
      </c>
      <c r="E153">
        <v>3</v>
      </c>
      <c r="F153">
        <v>3</v>
      </c>
      <c r="G153">
        <v>1.01</v>
      </c>
      <c r="H153">
        <v>0</v>
      </c>
      <c r="I153">
        <v>1</v>
      </c>
      <c r="J153" s="1">
        <v>2</v>
      </c>
      <c r="L153">
        <f t="shared" si="2"/>
        <v>0</v>
      </c>
    </row>
    <row r="154" spans="1:12" x14ac:dyDescent="0.3">
      <c r="A154">
        <v>60</v>
      </c>
      <c r="B154">
        <v>5</v>
      </c>
      <c r="C154" s="1">
        <v>20</v>
      </c>
      <c r="D154">
        <v>1.1499999999999999</v>
      </c>
      <c r="E154">
        <v>3</v>
      </c>
      <c r="F154">
        <v>3</v>
      </c>
      <c r="G154">
        <v>0.23499999999999999</v>
      </c>
      <c r="H154">
        <v>0</v>
      </c>
      <c r="I154">
        <v>0</v>
      </c>
      <c r="J154" s="1">
        <v>1</v>
      </c>
      <c r="L154">
        <f t="shared" si="2"/>
        <v>0</v>
      </c>
    </row>
    <row r="155" spans="1:12" x14ac:dyDescent="0.3">
      <c r="A155">
        <v>60</v>
      </c>
      <c r="B155">
        <v>5</v>
      </c>
      <c r="C155" s="1">
        <v>30</v>
      </c>
      <c r="D155">
        <v>1.1499999999999999</v>
      </c>
      <c r="E155">
        <v>3</v>
      </c>
      <c r="F155">
        <v>3</v>
      </c>
      <c r="G155">
        <v>101.601</v>
      </c>
      <c r="H155">
        <v>0</v>
      </c>
      <c r="I155">
        <v>1</v>
      </c>
      <c r="J155" s="1">
        <v>2</v>
      </c>
      <c r="L155">
        <f t="shared" si="2"/>
        <v>0</v>
      </c>
    </row>
    <row r="156" spans="1:12" x14ac:dyDescent="0.3">
      <c r="A156">
        <v>60</v>
      </c>
      <c r="B156">
        <v>5</v>
      </c>
      <c r="C156" s="1">
        <v>40</v>
      </c>
      <c r="D156">
        <v>1.1499999999999999</v>
      </c>
      <c r="E156">
        <v>3</v>
      </c>
      <c r="F156">
        <v>3</v>
      </c>
      <c r="G156">
        <v>9.8000000000000007</v>
      </c>
      <c r="H156">
        <v>0</v>
      </c>
      <c r="I156">
        <v>1</v>
      </c>
      <c r="J156" s="1">
        <v>4</v>
      </c>
      <c r="L156">
        <f t="shared" si="2"/>
        <v>0</v>
      </c>
    </row>
    <row r="157" spans="1:12" x14ac:dyDescent="0.3">
      <c r="A157">
        <v>60</v>
      </c>
      <c r="B157">
        <v>5</v>
      </c>
      <c r="C157" s="1">
        <v>50</v>
      </c>
      <c r="D157">
        <v>1.1499999999999999</v>
      </c>
      <c r="E157">
        <v>3</v>
      </c>
      <c r="F157">
        <v>3</v>
      </c>
      <c r="G157">
        <v>1412.07</v>
      </c>
      <c r="H157">
        <v>0</v>
      </c>
      <c r="I157">
        <v>3</v>
      </c>
      <c r="J157" s="1">
        <v>6</v>
      </c>
      <c r="L157">
        <f t="shared" si="2"/>
        <v>0</v>
      </c>
    </row>
    <row r="158" spans="1:12" x14ac:dyDescent="0.3">
      <c r="A158">
        <v>60</v>
      </c>
      <c r="B158">
        <v>5</v>
      </c>
      <c r="C158" s="1">
        <v>60</v>
      </c>
      <c r="D158">
        <v>1.1499999999999999</v>
      </c>
      <c r="E158">
        <v>3</v>
      </c>
      <c r="F158">
        <v>3</v>
      </c>
      <c r="G158">
        <v>0.89900000000000002</v>
      </c>
      <c r="H158">
        <v>0</v>
      </c>
      <c r="I158">
        <v>0</v>
      </c>
      <c r="J158" s="1">
        <v>2</v>
      </c>
      <c r="L158">
        <f t="shared" si="2"/>
        <v>0</v>
      </c>
    </row>
    <row r="159" spans="1:12" x14ac:dyDescent="0.3">
      <c r="A159">
        <v>60</v>
      </c>
      <c r="B159">
        <v>5</v>
      </c>
      <c r="C159" s="1">
        <v>70</v>
      </c>
      <c r="D159">
        <v>1.1499999999999999</v>
      </c>
      <c r="E159">
        <v>3</v>
      </c>
      <c r="F159">
        <v>3</v>
      </c>
      <c r="G159">
        <v>0.16800000000000001</v>
      </c>
      <c r="H159">
        <v>0</v>
      </c>
      <c r="I159">
        <v>0</v>
      </c>
      <c r="J159" s="1">
        <v>1</v>
      </c>
      <c r="L159">
        <f t="shared" si="2"/>
        <v>0</v>
      </c>
    </row>
    <row r="160" spans="1:12" x14ac:dyDescent="0.3">
      <c r="A160">
        <v>60</v>
      </c>
      <c r="B160">
        <v>5</v>
      </c>
      <c r="C160" s="1">
        <v>80</v>
      </c>
      <c r="D160">
        <v>1.1499999999999999</v>
      </c>
      <c r="E160">
        <v>3</v>
      </c>
      <c r="F160">
        <v>3</v>
      </c>
      <c r="G160">
        <v>0.16700000000000001</v>
      </c>
      <c r="H160">
        <v>0</v>
      </c>
      <c r="I160">
        <v>0</v>
      </c>
      <c r="J160" s="1">
        <v>1</v>
      </c>
      <c r="L160">
        <f t="shared" si="2"/>
        <v>0</v>
      </c>
    </row>
    <row r="161" spans="1:12" x14ac:dyDescent="0.3">
      <c r="A161">
        <v>60</v>
      </c>
      <c r="B161">
        <v>5</v>
      </c>
      <c r="C161" s="1">
        <v>90</v>
      </c>
      <c r="D161">
        <v>1.1499999999999999</v>
      </c>
      <c r="E161">
        <v>3</v>
      </c>
      <c r="F161">
        <v>3</v>
      </c>
      <c r="G161">
        <v>0.54400000000000004</v>
      </c>
      <c r="H161">
        <v>0</v>
      </c>
      <c r="I161">
        <v>0</v>
      </c>
      <c r="J161" s="1">
        <v>2</v>
      </c>
      <c r="L161">
        <f t="shared" si="2"/>
        <v>0</v>
      </c>
    </row>
    <row r="162" spans="1:12" s="2" customFormat="1" x14ac:dyDescent="0.3">
      <c r="A162" s="2">
        <v>60</v>
      </c>
      <c r="B162" s="2">
        <v>5</v>
      </c>
      <c r="C162" s="3">
        <v>100</v>
      </c>
      <c r="D162" s="2">
        <v>1.1499999999999999</v>
      </c>
      <c r="E162" s="2">
        <v>3</v>
      </c>
      <c r="F162" s="2">
        <v>3</v>
      </c>
      <c r="G162" s="2">
        <v>0.14799999999999999</v>
      </c>
      <c r="H162" s="2">
        <v>0</v>
      </c>
      <c r="I162" s="2">
        <v>0</v>
      </c>
      <c r="J162" s="3">
        <v>1</v>
      </c>
      <c r="K162" s="5">
        <f>AVERAGE(G153:G162)</f>
        <v>152.66419999999997</v>
      </c>
      <c r="L162" s="2">
        <f t="shared" si="2"/>
        <v>0</v>
      </c>
    </row>
    <row r="163" spans="1:12" x14ac:dyDescent="0.3">
      <c r="A163">
        <v>70</v>
      </c>
      <c r="B163">
        <v>2</v>
      </c>
      <c r="C163" s="1">
        <v>10</v>
      </c>
      <c r="D163">
        <v>1.1499999999999999</v>
      </c>
      <c r="F163">
        <v>7</v>
      </c>
      <c r="G163">
        <v>3600</v>
      </c>
      <c r="H163">
        <v>0</v>
      </c>
      <c r="I163">
        <v>0</v>
      </c>
      <c r="J163" s="1">
        <v>2</v>
      </c>
      <c r="L163">
        <f t="shared" si="2"/>
        <v>100</v>
      </c>
    </row>
    <row r="164" spans="1:12" x14ac:dyDescent="0.3">
      <c r="A164">
        <v>70</v>
      </c>
      <c r="B164">
        <v>2</v>
      </c>
      <c r="C164" s="1">
        <v>20</v>
      </c>
      <c r="D164">
        <v>1.1499999999999999</v>
      </c>
      <c r="F164">
        <v>7</v>
      </c>
      <c r="G164">
        <v>3600</v>
      </c>
      <c r="H164">
        <v>0</v>
      </c>
      <c r="I164">
        <v>0</v>
      </c>
      <c r="J164" s="1">
        <v>2</v>
      </c>
      <c r="L164">
        <f t="shared" si="2"/>
        <v>100</v>
      </c>
    </row>
    <row r="165" spans="1:12" x14ac:dyDescent="0.3">
      <c r="A165">
        <v>70</v>
      </c>
      <c r="B165">
        <v>2</v>
      </c>
      <c r="C165" s="1">
        <v>30</v>
      </c>
      <c r="J165" s="1"/>
      <c r="L165" t="str">
        <f t="shared" si="2"/>
        <v/>
      </c>
    </row>
    <row r="166" spans="1:12" x14ac:dyDescent="0.3">
      <c r="A166">
        <v>70</v>
      </c>
      <c r="B166">
        <v>2</v>
      </c>
      <c r="C166" s="1">
        <v>40</v>
      </c>
      <c r="J166" s="1"/>
      <c r="L166" t="str">
        <f t="shared" si="2"/>
        <v/>
      </c>
    </row>
    <row r="167" spans="1:12" x14ac:dyDescent="0.3">
      <c r="A167">
        <v>70</v>
      </c>
      <c r="B167">
        <v>2</v>
      </c>
      <c r="C167" s="1">
        <v>50</v>
      </c>
      <c r="J167" s="1"/>
      <c r="L167" t="str">
        <f t="shared" si="2"/>
        <v/>
      </c>
    </row>
    <row r="168" spans="1:12" x14ac:dyDescent="0.3">
      <c r="A168">
        <v>70</v>
      </c>
      <c r="B168">
        <v>2</v>
      </c>
      <c r="C168" s="1">
        <v>60</v>
      </c>
      <c r="J168" s="1"/>
      <c r="L168" t="str">
        <f t="shared" si="2"/>
        <v/>
      </c>
    </row>
    <row r="169" spans="1:12" x14ac:dyDescent="0.3">
      <c r="A169">
        <v>70</v>
      </c>
      <c r="B169">
        <v>2</v>
      </c>
      <c r="C169" s="1">
        <v>70</v>
      </c>
      <c r="J169" s="1"/>
      <c r="L169" t="str">
        <f t="shared" si="2"/>
        <v/>
      </c>
    </row>
    <row r="170" spans="1:12" x14ac:dyDescent="0.3">
      <c r="A170">
        <v>70</v>
      </c>
      <c r="B170">
        <v>2</v>
      </c>
      <c r="C170" s="1">
        <v>80</v>
      </c>
      <c r="J170" s="1"/>
      <c r="L170" t="str">
        <f t="shared" si="2"/>
        <v/>
      </c>
    </row>
    <row r="171" spans="1:12" x14ac:dyDescent="0.3">
      <c r="A171">
        <v>70</v>
      </c>
      <c r="B171">
        <v>2</v>
      </c>
      <c r="C171" s="1">
        <v>90</v>
      </c>
      <c r="J171" s="1"/>
      <c r="L171" t="str">
        <f t="shared" si="2"/>
        <v/>
      </c>
    </row>
    <row r="172" spans="1:12" s="2" customFormat="1" x14ac:dyDescent="0.3">
      <c r="A172" s="2">
        <v>70</v>
      </c>
      <c r="B172" s="2">
        <v>2</v>
      </c>
      <c r="C172" s="3">
        <v>100</v>
      </c>
      <c r="J172" s="3"/>
      <c r="K172" s="5">
        <f>AVERAGE(G163:G172)</f>
        <v>3600</v>
      </c>
      <c r="L172" s="2" t="str">
        <f t="shared" si="2"/>
        <v/>
      </c>
    </row>
    <row r="173" spans="1:12" x14ac:dyDescent="0.3">
      <c r="A173">
        <v>70</v>
      </c>
      <c r="B173">
        <v>3</v>
      </c>
      <c r="C173" s="1">
        <v>10</v>
      </c>
      <c r="J173" s="1"/>
      <c r="L173" t="str">
        <f t="shared" si="2"/>
        <v/>
      </c>
    </row>
    <row r="174" spans="1:12" x14ac:dyDescent="0.3">
      <c r="A174">
        <v>70</v>
      </c>
      <c r="B174">
        <v>3</v>
      </c>
      <c r="C174" s="1">
        <v>20</v>
      </c>
      <c r="J174" s="1"/>
      <c r="L174" t="str">
        <f t="shared" si="2"/>
        <v/>
      </c>
    </row>
    <row r="175" spans="1:12" x14ac:dyDescent="0.3">
      <c r="A175">
        <v>70</v>
      </c>
      <c r="B175">
        <v>3</v>
      </c>
      <c r="C175" s="1">
        <v>30</v>
      </c>
      <c r="J175" s="1"/>
      <c r="L175" t="str">
        <f t="shared" si="2"/>
        <v/>
      </c>
    </row>
    <row r="176" spans="1:12" x14ac:dyDescent="0.3">
      <c r="A176">
        <v>70</v>
      </c>
      <c r="B176">
        <v>3</v>
      </c>
      <c r="C176" s="1">
        <v>40</v>
      </c>
      <c r="J176" s="1"/>
      <c r="L176" t="str">
        <f t="shared" si="2"/>
        <v/>
      </c>
    </row>
    <row r="177" spans="1:12" x14ac:dyDescent="0.3">
      <c r="A177">
        <v>70</v>
      </c>
      <c r="B177">
        <v>3</v>
      </c>
      <c r="C177" s="1">
        <v>50</v>
      </c>
      <c r="J177" s="1"/>
      <c r="L177" t="str">
        <f t="shared" si="2"/>
        <v/>
      </c>
    </row>
    <row r="178" spans="1:12" x14ac:dyDescent="0.3">
      <c r="A178">
        <v>70</v>
      </c>
      <c r="B178">
        <v>3</v>
      </c>
      <c r="C178" s="1">
        <v>60</v>
      </c>
      <c r="J178" s="1"/>
      <c r="L178" t="str">
        <f t="shared" si="2"/>
        <v/>
      </c>
    </row>
    <row r="179" spans="1:12" x14ac:dyDescent="0.3">
      <c r="A179">
        <v>70</v>
      </c>
      <c r="B179">
        <v>3</v>
      </c>
      <c r="C179" s="1">
        <v>70</v>
      </c>
      <c r="J179" s="1"/>
      <c r="L179" t="str">
        <f t="shared" si="2"/>
        <v/>
      </c>
    </row>
    <row r="180" spans="1:12" x14ac:dyDescent="0.3">
      <c r="A180">
        <v>70</v>
      </c>
      <c r="B180">
        <v>3</v>
      </c>
      <c r="C180" s="1">
        <v>80</v>
      </c>
      <c r="J180" s="1"/>
      <c r="L180" t="str">
        <f t="shared" si="2"/>
        <v/>
      </c>
    </row>
    <row r="181" spans="1:12" x14ac:dyDescent="0.3">
      <c r="A181">
        <v>70</v>
      </c>
      <c r="B181">
        <v>3</v>
      </c>
      <c r="C181" s="1">
        <v>90</v>
      </c>
      <c r="J181" s="1"/>
      <c r="L181" t="str">
        <f t="shared" si="2"/>
        <v/>
      </c>
    </row>
    <row r="182" spans="1:12" s="2" customFormat="1" x14ac:dyDescent="0.3">
      <c r="A182" s="2">
        <v>70</v>
      </c>
      <c r="B182" s="2">
        <v>3</v>
      </c>
      <c r="C182" s="3">
        <v>100</v>
      </c>
      <c r="J182" s="3"/>
      <c r="K182" s="5" t="e">
        <f>AVERAGE(G173:G182)</f>
        <v>#DIV/0!</v>
      </c>
      <c r="L182" s="2" t="str">
        <f t="shared" si="2"/>
        <v/>
      </c>
    </row>
    <row r="183" spans="1:12" x14ac:dyDescent="0.3">
      <c r="A183">
        <v>70</v>
      </c>
      <c r="B183">
        <v>4</v>
      </c>
      <c r="C183" s="1">
        <v>10</v>
      </c>
      <c r="J183" s="1"/>
      <c r="L183" t="str">
        <f t="shared" si="2"/>
        <v/>
      </c>
    </row>
    <row r="184" spans="1:12" x14ac:dyDescent="0.3">
      <c r="A184">
        <v>70</v>
      </c>
      <c r="B184">
        <v>4</v>
      </c>
      <c r="C184" s="1">
        <v>20</v>
      </c>
      <c r="J184" s="1"/>
      <c r="L184" t="str">
        <f t="shared" si="2"/>
        <v/>
      </c>
    </row>
    <row r="185" spans="1:12" x14ac:dyDescent="0.3">
      <c r="A185">
        <v>70</v>
      </c>
      <c r="B185">
        <v>4</v>
      </c>
      <c r="C185" s="1">
        <v>30</v>
      </c>
      <c r="J185" s="1"/>
      <c r="L185" t="str">
        <f t="shared" si="2"/>
        <v/>
      </c>
    </row>
    <row r="186" spans="1:12" x14ac:dyDescent="0.3">
      <c r="A186">
        <v>70</v>
      </c>
      <c r="B186">
        <v>4</v>
      </c>
      <c r="C186" s="1">
        <v>40</v>
      </c>
      <c r="J186" s="1"/>
      <c r="L186" t="str">
        <f t="shared" si="2"/>
        <v/>
      </c>
    </row>
    <row r="187" spans="1:12" x14ac:dyDescent="0.3">
      <c r="A187">
        <v>70</v>
      </c>
      <c r="B187">
        <v>4</v>
      </c>
      <c r="C187" s="1">
        <v>50</v>
      </c>
      <c r="J187" s="1"/>
      <c r="L187" t="str">
        <f t="shared" si="2"/>
        <v/>
      </c>
    </row>
    <row r="188" spans="1:12" x14ac:dyDescent="0.3">
      <c r="A188">
        <v>70</v>
      </c>
      <c r="B188">
        <v>4</v>
      </c>
      <c r="C188" s="1">
        <v>60</v>
      </c>
      <c r="J188" s="1"/>
      <c r="L188" t="str">
        <f t="shared" si="2"/>
        <v/>
      </c>
    </row>
    <row r="189" spans="1:12" x14ac:dyDescent="0.3">
      <c r="A189">
        <v>70</v>
      </c>
      <c r="B189">
        <v>4</v>
      </c>
      <c r="C189" s="1">
        <v>70</v>
      </c>
      <c r="J189" s="1"/>
      <c r="L189" t="str">
        <f t="shared" si="2"/>
        <v/>
      </c>
    </row>
    <row r="190" spans="1:12" x14ac:dyDescent="0.3">
      <c r="A190">
        <v>70</v>
      </c>
      <c r="B190">
        <v>4</v>
      </c>
      <c r="C190" s="1">
        <v>80</v>
      </c>
      <c r="J190" s="1"/>
      <c r="L190" t="str">
        <f t="shared" si="2"/>
        <v/>
      </c>
    </row>
    <row r="191" spans="1:12" x14ac:dyDescent="0.3">
      <c r="A191">
        <v>70</v>
      </c>
      <c r="B191">
        <v>4</v>
      </c>
      <c r="C191" s="1">
        <v>90</v>
      </c>
      <c r="J191" s="1"/>
      <c r="L191" t="str">
        <f t="shared" si="2"/>
        <v/>
      </c>
    </row>
    <row r="192" spans="1:12" s="2" customFormat="1" x14ac:dyDescent="0.3">
      <c r="A192" s="2">
        <v>70</v>
      </c>
      <c r="B192" s="2">
        <v>4</v>
      </c>
      <c r="C192" s="3">
        <v>100</v>
      </c>
      <c r="J192" s="3"/>
      <c r="K192" s="5" t="e">
        <f>AVERAGE(G183:G192)</f>
        <v>#DIV/0!</v>
      </c>
      <c r="L192" s="2" t="str">
        <f t="shared" si="2"/>
        <v/>
      </c>
    </row>
    <row r="193" spans="1:12" x14ac:dyDescent="0.3">
      <c r="A193">
        <v>70</v>
      </c>
      <c r="B193">
        <v>5</v>
      </c>
      <c r="C193" s="1">
        <v>10</v>
      </c>
      <c r="J193" s="1"/>
      <c r="L193" t="str">
        <f t="shared" si="2"/>
        <v/>
      </c>
    </row>
    <row r="194" spans="1:12" x14ac:dyDescent="0.3">
      <c r="A194">
        <v>70</v>
      </c>
      <c r="B194">
        <v>5</v>
      </c>
      <c r="C194" s="1">
        <v>20</v>
      </c>
      <c r="J194" s="1"/>
      <c r="L194" t="str">
        <f t="shared" si="2"/>
        <v/>
      </c>
    </row>
    <row r="195" spans="1:12" x14ac:dyDescent="0.3">
      <c r="A195">
        <v>70</v>
      </c>
      <c r="B195">
        <v>5</v>
      </c>
      <c r="C195" s="1">
        <v>30</v>
      </c>
      <c r="J195" s="1"/>
      <c r="L195" t="str">
        <f t="shared" ref="L195:L242" si="3">IF(ISBLANK(E195),IF(ISBLANK(F195),"",100), IF(E195+F195=0, 0, IF(G195=3600, IF(E195=F195,1,(E195-F195)/E195*100), 0)))</f>
        <v/>
      </c>
    </row>
    <row r="196" spans="1:12" x14ac:dyDescent="0.3">
      <c r="A196">
        <v>70</v>
      </c>
      <c r="B196">
        <v>5</v>
      </c>
      <c r="C196" s="1">
        <v>40</v>
      </c>
      <c r="J196" s="1"/>
      <c r="L196" t="str">
        <f t="shared" si="3"/>
        <v/>
      </c>
    </row>
    <row r="197" spans="1:12" x14ac:dyDescent="0.3">
      <c r="A197">
        <v>70</v>
      </c>
      <c r="B197">
        <v>5</v>
      </c>
      <c r="C197" s="1">
        <v>50</v>
      </c>
      <c r="J197" s="1"/>
      <c r="L197" t="str">
        <f t="shared" si="3"/>
        <v/>
      </c>
    </row>
    <row r="198" spans="1:12" x14ac:dyDescent="0.3">
      <c r="A198">
        <v>70</v>
      </c>
      <c r="B198">
        <v>5</v>
      </c>
      <c r="C198" s="1">
        <v>60</v>
      </c>
      <c r="J198" s="1"/>
      <c r="L198" t="str">
        <f t="shared" si="3"/>
        <v/>
      </c>
    </row>
    <row r="199" spans="1:12" x14ac:dyDescent="0.3">
      <c r="A199">
        <v>70</v>
      </c>
      <c r="B199">
        <v>5</v>
      </c>
      <c r="C199" s="1">
        <v>70</v>
      </c>
      <c r="J199" s="1"/>
      <c r="L199" t="str">
        <f t="shared" si="3"/>
        <v/>
      </c>
    </row>
    <row r="200" spans="1:12" x14ac:dyDescent="0.3">
      <c r="A200">
        <v>70</v>
      </c>
      <c r="B200">
        <v>5</v>
      </c>
      <c r="C200" s="1">
        <v>80</v>
      </c>
      <c r="J200" s="1"/>
      <c r="L200" t="str">
        <f t="shared" si="3"/>
        <v/>
      </c>
    </row>
    <row r="201" spans="1:12" x14ac:dyDescent="0.3">
      <c r="A201">
        <v>70</v>
      </c>
      <c r="B201">
        <v>5</v>
      </c>
      <c r="C201" s="1">
        <v>90</v>
      </c>
      <c r="J201" s="1"/>
      <c r="L201" t="str">
        <f t="shared" si="3"/>
        <v/>
      </c>
    </row>
    <row r="202" spans="1:12" s="2" customFormat="1" x14ac:dyDescent="0.3">
      <c r="A202" s="2">
        <v>70</v>
      </c>
      <c r="B202" s="2">
        <v>5</v>
      </c>
      <c r="C202" s="3">
        <v>100</v>
      </c>
      <c r="J202" s="3"/>
      <c r="K202" s="5" t="e">
        <f>AVERAGE(G193:G202)</f>
        <v>#DIV/0!</v>
      </c>
      <c r="L202" s="2" t="str">
        <f t="shared" si="3"/>
        <v/>
      </c>
    </row>
    <row r="203" spans="1:12" x14ac:dyDescent="0.3">
      <c r="A203">
        <v>80</v>
      </c>
      <c r="B203">
        <v>2</v>
      </c>
      <c r="C203" s="1">
        <v>10</v>
      </c>
      <c r="J203" s="1"/>
      <c r="L203" t="str">
        <f t="shared" si="3"/>
        <v/>
      </c>
    </row>
    <row r="204" spans="1:12" x14ac:dyDescent="0.3">
      <c r="A204">
        <v>80</v>
      </c>
      <c r="B204">
        <v>2</v>
      </c>
      <c r="C204" s="1">
        <v>20</v>
      </c>
      <c r="J204" s="1"/>
      <c r="L204" t="str">
        <f t="shared" si="3"/>
        <v/>
      </c>
    </row>
    <row r="205" spans="1:12" x14ac:dyDescent="0.3">
      <c r="A205">
        <v>80</v>
      </c>
      <c r="B205">
        <v>2</v>
      </c>
      <c r="C205" s="1">
        <v>30</v>
      </c>
      <c r="J205" s="1"/>
      <c r="L205" t="str">
        <f t="shared" si="3"/>
        <v/>
      </c>
    </row>
    <row r="206" spans="1:12" x14ac:dyDescent="0.3">
      <c r="A206">
        <v>80</v>
      </c>
      <c r="B206">
        <v>2</v>
      </c>
      <c r="C206" s="1">
        <v>40</v>
      </c>
      <c r="J206" s="1"/>
      <c r="L206" t="str">
        <f t="shared" si="3"/>
        <v/>
      </c>
    </row>
    <row r="207" spans="1:12" x14ac:dyDescent="0.3">
      <c r="A207">
        <v>80</v>
      </c>
      <c r="B207">
        <v>2</v>
      </c>
      <c r="C207" s="1">
        <v>50</v>
      </c>
      <c r="J207" s="1"/>
      <c r="L207" t="str">
        <f t="shared" si="3"/>
        <v/>
      </c>
    </row>
    <row r="208" spans="1:12" x14ac:dyDescent="0.3">
      <c r="A208">
        <v>80</v>
      </c>
      <c r="B208">
        <v>2</v>
      </c>
      <c r="C208" s="1">
        <v>60</v>
      </c>
      <c r="J208" s="1"/>
      <c r="L208" t="str">
        <f t="shared" si="3"/>
        <v/>
      </c>
    </row>
    <row r="209" spans="1:12" x14ac:dyDescent="0.3">
      <c r="A209">
        <v>80</v>
      </c>
      <c r="B209">
        <v>2</v>
      </c>
      <c r="C209" s="1">
        <v>70</v>
      </c>
      <c r="J209" s="1"/>
      <c r="L209" t="str">
        <f t="shared" si="3"/>
        <v/>
      </c>
    </row>
    <row r="210" spans="1:12" x14ac:dyDescent="0.3">
      <c r="A210">
        <v>80</v>
      </c>
      <c r="B210">
        <v>2</v>
      </c>
      <c r="C210" s="1">
        <v>80</v>
      </c>
      <c r="J210" s="1"/>
      <c r="L210" t="str">
        <f t="shared" si="3"/>
        <v/>
      </c>
    </row>
    <row r="211" spans="1:12" x14ac:dyDescent="0.3">
      <c r="A211">
        <v>80</v>
      </c>
      <c r="B211">
        <v>2</v>
      </c>
      <c r="C211" s="1">
        <v>90</v>
      </c>
      <c r="J211" s="1"/>
      <c r="L211" t="str">
        <f t="shared" si="3"/>
        <v/>
      </c>
    </row>
    <row r="212" spans="1:12" s="2" customFormat="1" x14ac:dyDescent="0.3">
      <c r="A212" s="2">
        <v>80</v>
      </c>
      <c r="B212" s="2">
        <v>2</v>
      </c>
      <c r="C212" s="3">
        <v>100</v>
      </c>
      <c r="J212" s="3"/>
      <c r="K212" s="5" t="e">
        <f t="shared" ref="K212:K242" si="4">AVERAGE(G203:G212)</f>
        <v>#DIV/0!</v>
      </c>
      <c r="L212" s="2" t="str">
        <f t="shared" si="3"/>
        <v/>
      </c>
    </row>
    <row r="213" spans="1:12" x14ac:dyDescent="0.3">
      <c r="A213">
        <v>80</v>
      </c>
      <c r="B213">
        <v>3</v>
      </c>
      <c r="C213" s="1">
        <v>10</v>
      </c>
      <c r="J213" s="1"/>
      <c r="L213" t="str">
        <f t="shared" si="3"/>
        <v/>
      </c>
    </row>
    <row r="214" spans="1:12" x14ac:dyDescent="0.3">
      <c r="A214">
        <v>80</v>
      </c>
      <c r="B214">
        <v>3</v>
      </c>
      <c r="C214" s="1">
        <v>20</v>
      </c>
      <c r="J214" s="1"/>
      <c r="L214" t="str">
        <f t="shared" si="3"/>
        <v/>
      </c>
    </row>
    <row r="215" spans="1:12" x14ac:dyDescent="0.3">
      <c r="A215">
        <v>80</v>
      </c>
      <c r="B215">
        <v>3</v>
      </c>
      <c r="C215" s="1">
        <v>30</v>
      </c>
      <c r="J215" s="1"/>
      <c r="L215" t="str">
        <f t="shared" si="3"/>
        <v/>
      </c>
    </row>
    <row r="216" spans="1:12" x14ac:dyDescent="0.3">
      <c r="A216">
        <v>80</v>
      </c>
      <c r="B216">
        <v>3</v>
      </c>
      <c r="C216" s="1">
        <v>40</v>
      </c>
      <c r="J216" s="1"/>
      <c r="L216" t="str">
        <f t="shared" si="3"/>
        <v/>
      </c>
    </row>
    <row r="217" spans="1:12" x14ac:dyDescent="0.3">
      <c r="A217">
        <v>80</v>
      </c>
      <c r="B217">
        <v>3</v>
      </c>
      <c r="C217" s="1">
        <v>50</v>
      </c>
      <c r="J217" s="1"/>
      <c r="L217" t="str">
        <f t="shared" si="3"/>
        <v/>
      </c>
    </row>
    <row r="218" spans="1:12" x14ac:dyDescent="0.3">
      <c r="A218">
        <v>80</v>
      </c>
      <c r="B218">
        <v>3</v>
      </c>
      <c r="C218" s="1">
        <v>60</v>
      </c>
      <c r="J218" s="1"/>
      <c r="L218" t="str">
        <f t="shared" si="3"/>
        <v/>
      </c>
    </row>
    <row r="219" spans="1:12" x14ac:dyDescent="0.3">
      <c r="A219">
        <v>80</v>
      </c>
      <c r="B219">
        <v>3</v>
      </c>
      <c r="C219" s="1">
        <v>70</v>
      </c>
      <c r="J219" s="1"/>
      <c r="L219" t="str">
        <f t="shared" si="3"/>
        <v/>
      </c>
    </row>
    <row r="220" spans="1:12" x14ac:dyDescent="0.3">
      <c r="A220">
        <v>80</v>
      </c>
      <c r="B220">
        <v>3</v>
      </c>
      <c r="C220" s="1">
        <v>80</v>
      </c>
      <c r="J220" s="1"/>
      <c r="L220" t="str">
        <f t="shared" si="3"/>
        <v/>
      </c>
    </row>
    <row r="221" spans="1:12" x14ac:dyDescent="0.3">
      <c r="A221">
        <v>80</v>
      </c>
      <c r="B221">
        <v>3</v>
      </c>
      <c r="C221" s="1">
        <v>90</v>
      </c>
      <c r="J221" s="1"/>
      <c r="L221" t="str">
        <f t="shared" si="3"/>
        <v/>
      </c>
    </row>
    <row r="222" spans="1:12" s="2" customFormat="1" x14ac:dyDescent="0.3">
      <c r="A222" s="2">
        <v>80</v>
      </c>
      <c r="B222" s="2">
        <v>3</v>
      </c>
      <c r="C222" s="3">
        <v>100</v>
      </c>
      <c r="J222" s="3"/>
      <c r="K222" s="5" t="e">
        <f>AVERAGE(G213:G222)</f>
        <v>#DIV/0!</v>
      </c>
      <c r="L222" s="2" t="str">
        <f t="shared" si="3"/>
        <v/>
      </c>
    </row>
    <row r="223" spans="1:12" x14ac:dyDescent="0.3">
      <c r="A223">
        <v>80</v>
      </c>
      <c r="B223">
        <v>4</v>
      </c>
      <c r="C223" s="1">
        <v>10</v>
      </c>
      <c r="J223" s="1"/>
      <c r="L223" t="str">
        <f t="shared" si="3"/>
        <v/>
      </c>
    </row>
    <row r="224" spans="1:12" x14ac:dyDescent="0.3">
      <c r="A224">
        <v>80</v>
      </c>
      <c r="B224">
        <v>4</v>
      </c>
      <c r="C224" s="1">
        <v>20</v>
      </c>
      <c r="J224" s="1"/>
      <c r="L224" t="str">
        <f t="shared" si="3"/>
        <v/>
      </c>
    </row>
    <row r="225" spans="1:12" x14ac:dyDescent="0.3">
      <c r="A225">
        <v>80</v>
      </c>
      <c r="B225">
        <v>4</v>
      </c>
      <c r="C225" s="1">
        <v>30</v>
      </c>
      <c r="J225" s="1"/>
      <c r="L225" t="str">
        <f t="shared" si="3"/>
        <v/>
      </c>
    </row>
    <row r="226" spans="1:12" x14ac:dyDescent="0.3">
      <c r="A226">
        <v>80</v>
      </c>
      <c r="B226">
        <v>4</v>
      </c>
      <c r="C226" s="1">
        <v>40</v>
      </c>
      <c r="J226" s="1"/>
      <c r="L226" t="str">
        <f t="shared" si="3"/>
        <v/>
      </c>
    </row>
    <row r="227" spans="1:12" x14ac:dyDescent="0.3">
      <c r="A227">
        <v>80</v>
      </c>
      <c r="B227">
        <v>4</v>
      </c>
      <c r="C227" s="1">
        <v>50</v>
      </c>
      <c r="J227" s="1"/>
      <c r="L227" t="str">
        <f t="shared" si="3"/>
        <v/>
      </c>
    </row>
    <row r="228" spans="1:12" x14ac:dyDescent="0.3">
      <c r="A228">
        <v>80</v>
      </c>
      <c r="B228">
        <v>4</v>
      </c>
      <c r="C228" s="1">
        <v>60</v>
      </c>
      <c r="J228" s="1"/>
      <c r="L228" t="str">
        <f t="shared" si="3"/>
        <v/>
      </c>
    </row>
    <row r="229" spans="1:12" x14ac:dyDescent="0.3">
      <c r="A229">
        <v>80</v>
      </c>
      <c r="B229">
        <v>4</v>
      </c>
      <c r="C229" s="1">
        <v>70</v>
      </c>
      <c r="J229" s="1"/>
      <c r="L229" t="str">
        <f t="shared" si="3"/>
        <v/>
      </c>
    </row>
    <row r="230" spans="1:12" x14ac:dyDescent="0.3">
      <c r="A230">
        <v>80</v>
      </c>
      <c r="B230">
        <v>4</v>
      </c>
      <c r="C230" s="1">
        <v>80</v>
      </c>
      <c r="J230" s="1"/>
      <c r="L230" t="str">
        <f t="shared" si="3"/>
        <v/>
      </c>
    </row>
    <row r="231" spans="1:12" x14ac:dyDescent="0.3">
      <c r="A231">
        <v>80</v>
      </c>
      <c r="B231">
        <v>4</v>
      </c>
      <c r="C231" s="1">
        <v>90</v>
      </c>
      <c r="J231" s="1"/>
      <c r="L231" t="str">
        <f t="shared" si="3"/>
        <v/>
      </c>
    </row>
    <row r="232" spans="1:12" s="2" customFormat="1" x14ac:dyDescent="0.3">
      <c r="A232" s="2">
        <v>80</v>
      </c>
      <c r="B232" s="2">
        <v>4</v>
      </c>
      <c r="C232" s="3">
        <v>100</v>
      </c>
      <c r="J232" s="3"/>
      <c r="K232" s="5" t="e">
        <f t="shared" si="4"/>
        <v>#DIV/0!</v>
      </c>
      <c r="L232" s="2" t="str">
        <f t="shared" si="3"/>
        <v/>
      </c>
    </row>
    <row r="233" spans="1:12" x14ac:dyDescent="0.3">
      <c r="A233">
        <v>80</v>
      </c>
      <c r="B233">
        <v>5</v>
      </c>
      <c r="C233" s="1">
        <v>10</v>
      </c>
      <c r="J233" s="1"/>
      <c r="L233" t="str">
        <f t="shared" si="3"/>
        <v/>
      </c>
    </row>
    <row r="234" spans="1:12" x14ac:dyDescent="0.3">
      <c r="A234">
        <v>80</v>
      </c>
      <c r="B234">
        <v>5</v>
      </c>
      <c r="C234" s="1">
        <v>20</v>
      </c>
      <c r="J234" s="1"/>
      <c r="L234" t="str">
        <f t="shared" si="3"/>
        <v/>
      </c>
    </row>
    <row r="235" spans="1:12" x14ac:dyDescent="0.3">
      <c r="A235">
        <v>80</v>
      </c>
      <c r="B235">
        <v>5</v>
      </c>
      <c r="C235" s="1">
        <v>30</v>
      </c>
      <c r="J235" s="1"/>
      <c r="L235" t="str">
        <f t="shared" si="3"/>
        <v/>
      </c>
    </row>
    <row r="236" spans="1:12" x14ac:dyDescent="0.3">
      <c r="A236">
        <v>80</v>
      </c>
      <c r="B236">
        <v>5</v>
      </c>
      <c r="C236" s="1">
        <v>40</v>
      </c>
      <c r="J236" s="1"/>
      <c r="L236" t="str">
        <f t="shared" si="3"/>
        <v/>
      </c>
    </row>
    <row r="237" spans="1:12" x14ac:dyDescent="0.3">
      <c r="A237">
        <v>80</v>
      </c>
      <c r="B237">
        <v>5</v>
      </c>
      <c r="C237" s="1">
        <v>50</v>
      </c>
      <c r="J237" s="1"/>
      <c r="L237" t="str">
        <f t="shared" si="3"/>
        <v/>
      </c>
    </row>
    <row r="238" spans="1:12" x14ac:dyDescent="0.3">
      <c r="A238">
        <v>80</v>
      </c>
      <c r="B238">
        <v>5</v>
      </c>
      <c r="C238" s="1">
        <v>60</v>
      </c>
      <c r="J238" s="1"/>
      <c r="L238" t="str">
        <f t="shared" si="3"/>
        <v/>
      </c>
    </row>
    <row r="239" spans="1:12" x14ac:dyDescent="0.3">
      <c r="A239">
        <v>80</v>
      </c>
      <c r="B239">
        <v>5</v>
      </c>
      <c r="C239" s="1">
        <v>70</v>
      </c>
      <c r="J239" s="1"/>
      <c r="L239" t="str">
        <f t="shared" si="3"/>
        <v/>
      </c>
    </row>
    <row r="240" spans="1:12" x14ac:dyDescent="0.3">
      <c r="A240">
        <v>80</v>
      </c>
      <c r="B240">
        <v>5</v>
      </c>
      <c r="C240" s="1">
        <v>80</v>
      </c>
      <c r="J240" s="1"/>
      <c r="L240" t="str">
        <f t="shared" si="3"/>
        <v/>
      </c>
    </row>
    <row r="241" spans="1:12" x14ac:dyDescent="0.3">
      <c r="A241">
        <v>80</v>
      </c>
      <c r="B241">
        <v>5</v>
      </c>
      <c r="C241" s="1">
        <v>90</v>
      </c>
      <c r="J241" s="1"/>
      <c r="L241" t="str">
        <f t="shared" si="3"/>
        <v/>
      </c>
    </row>
    <row r="242" spans="1:12" s="2" customFormat="1" x14ac:dyDescent="0.3">
      <c r="A242" s="2">
        <v>80</v>
      </c>
      <c r="B242" s="2">
        <v>5</v>
      </c>
      <c r="C242" s="3">
        <v>100</v>
      </c>
      <c r="J242" s="3"/>
      <c r="K242" s="5" t="e">
        <f t="shared" si="4"/>
        <v>#DIV/0!</v>
      </c>
      <c r="L242" s="2" t="str">
        <f t="shared" si="3"/>
        <v/>
      </c>
    </row>
    <row r="243" spans="1:12" x14ac:dyDescent="0.3">
      <c r="D243">
        <f>AVERAGE(D3:D242)</f>
        <v>1.1500000000000035</v>
      </c>
      <c r="E243">
        <f t="shared" ref="E243:G243" si="5">AVERAGE(E3:E242)</f>
        <v>2.6090225563909772</v>
      </c>
      <c r="F243">
        <f t="shared" si="5"/>
        <v>2.925925925925926</v>
      </c>
      <c r="G243">
        <f t="shared" si="5"/>
        <v>786.22077160493893</v>
      </c>
      <c r="H243">
        <f t="shared" ref="H243:J243" si="6">SUM(H3:H242)</f>
        <v>8</v>
      </c>
      <c r="I243">
        <f t="shared" si="6"/>
        <v>69</v>
      </c>
      <c r="J243">
        <f t="shared" si="6"/>
        <v>291</v>
      </c>
      <c r="L243">
        <f>COUNTIF(L3:L242,"&gt;0")</f>
        <v>34</v>
      </c>
    </row>
    <row r="323" spans="4:12" x14ac:dyDescent="0.3">
      <c r="D323" s="6">
        <f>AVERAGE(D12:D242)</f>
        <v>1.1500000000000032</v>
      </c>
      <c r="E323">
        <f>SUM(E12:E242)</f>
        <v>333</v>
      </c>
      <c r="F323">
        <f>SUM(F12:F242)</f>
        <v>456</v>
      </c>
      <c r="K323" s="4" t="e">
        <f>AVERAGE(K12:K242)</f>
        <v>#DIV/0!</v>
      </c>
      <c r="L323">
        <f>COUNTIF(L12:L242,"&gt;0")</f>
        <v>32</v>
      </c>
    </row>
  </sheetData>
  <autoFilter ref="K1:K323" xr:uid="{3BDC2A91-F62C-482F-8F5A-8E214630FF7D}"/>
  <phoneticPr fontId="1" type="noConversion"/>
  <conditionalFormatting sqref="L2:L242">
    <cfRule type="containsText" dxfId="48" priority="2" operator="containsText" text="FALSE">
      <formula>NOT(ISERROR(SEARCH("FALSE",L2)))</formula>
    </cfRule>
  </conditionalFormatting>
  <conditionalFormatting sqref="M1 M243:M322">
    <cfRule type="containsText" dxfId="47" priority="1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788A-7CD0-434E-9919-8A83D37D9C24}">
  <dimension ref="A1:S323"/>
  <sheetViews>
    <sheetView tabSelected="1" topLeftCell="A218" zoomScale="85" zoomScaleNormal="85" workbookViewId="0">
      <selection activeCell="S238" sqref="S238"/>
    </sheetView>
  </sheetViews>
  <sheetFormatPr defaultRowHeight="16.5" x14ac:dyDescent="0.3"/>
  <cols>
    <col min="1" max="1" width="8.875" bestFit="1" customWidth="1"/>
    <col min="2" max="2" width="13.75" bestFit="1" customWidth="1"/>
    <col min="5" max="5" width="14.75" bestFit="1" customWidth="1"/>
    <col min="6" max="6" width="12.625" bestFit="1" customWidth="1"/>
    <col min="7" max="7" width="9.75" bestFit="1" customWidth="1"/>
    <col min="8" max="8" width="15.125" bestFit="1" customWidth="1"/>
    <col min="9" max="9" width="14.125" bestFit="1" customWidth="1"/>
    <col min="10" max="10" width="13.625" bestFit="1" customWidth="1"/>
    <col min="14" max="14" width="9.125" style="4" bestFit="1" customWidth="1"/>
    <col min="15" max="15" width="10" style="16" bestFit="1" customWidth="1"/>
    <col min="19" max="19" width="8.75" style="7"/>
  </cols>
  <sheetData>
    <row r="1" spans="1:19" s="13" customFormat="1" x14ac:dyDescent="0.3">
      <c r="C1" s="12"/>
      <c r="D1" s="13" t="s">
        <v>18</v>
      </c>
      <c r="J1" s="12"/>
      <c r="K1" s="13" t="s">
        <v>2</v>
      </c>
      <c r="M1" s="12"/>
      <c r="N1" s="11"/>
      <c r="O1" s="18"/>
      <c r="S1" s="10"/>
    </row>
    <row r="2" spans="1:19" s="9" customFormat="1" x14ac:dyDescent="0.3">
      <c r="A2" s="9" t="s">
        <v>8</v>
      </c>
      <c r="B2" s="9" t="s">
        <v>9</v>
      </c>
      <c r="C2" s="17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17" t="s">
        <v>17</v>
      </c>
      <c r="K2" s="9" t="s">
        <v>0</v>
      </c>
      <c r="L2" s="9" t="s">
        <v>3</v>
      </c>
      <c r="M2" s="17" t="s">
        <v>1</v>
      </c>
      <c r="N2" s="15" t="s">
        <v>4</v>
      </c>
      <c r="O2" s="20" t="s">
        <v>4</v>
      </c>
      <c r="P2" s="9" t="s">
        <v>5</v>
      </c>
      <c r="Q2" s="14" t="s">
        <v>6</v>
      </c>
      <c r="R2" s="9" t="s">
        <v>7</v>
      </c>
    </row>
    <row r="3" spans="1:19" x14ac:dyDescent="0.3">
      <c r="A3">
        <v>30</v>
      </c>
      <c r="B3">
        <v>2</v>
      </c>
      <c r="C3" s="1">
        <v>10</v>
      </c>
      <c r="D3">
        <v>1.1499999999999999</v>
      </c>
      <c r="E3">
        <v>2</v>
      </c>
      <c r="F3">
        <v>2</v>
      </c>
      <c r="G3">
        <v>7.4999999999999997E-2</v>
      </c>
      <c r="H3">
        <v>0</v>
      </c>
      <c r="I3">
        <v>0</v>
      </c>
      <c r="J3" s="1">
        <v>1</v>
      </c>
      <c r="K3" s="30">
        <v>2</v>
      </c>
      <c r="L3" s="30">
        <v>2</v>
      </c>
      <c r="M3" s="29">
        <v>106.53</v>
      </c>
      <c r="P3">
        <f>IF(ISBLANK(E3),IF(ISBLANK(F3),"",100), IF(E3+F3=0, 0, IF(G3=3600, IF(E3=F3,1,(E3-F3)/E3*100), 0)))</f>
        <v>0</v>
      </c>
      <c r="Q3" s="7">
        <f>IF(ISBLANK(K3),"",IF(K3+L3=0,0,IF(M3=3600,IF(K3=L3,1,(K3-L3)/K3*100),0)))</f>
        <v>0</v>
      </c>
      <c r="R3" t="str">
        <f>IF(OR(AND(P3=0,E3&gt;K3),L3&gt;E3),TRUE,"")</f>
        <v/>
      </c>
    </row>
    <row r="4" spans="1:19" x14ac:dyDescent="0.3">
      <c r="A4">
        <v>30</v>
      </c>
      <c r="B4">
        <v>2</v>
      </c>
      <c r="C4" s="1">
        <v>20</v>
      </c>
      <c r="D4">
        <v>1.1499999999999999</v>
      </c>
      <c r="E4">
        <v>2</v>
      </c>
      <c r="F4">
        <v>2</v>
      </c>
      <c r="G4">
        <v>7.0999999999999994E-2</v>
      </c>
      <c r="H4">
        <v>0</v>
      </c>
      <c r="I4">
        <v>0</v>
      </c>
      <c r="J4" s="1">
        <v>1</v>
      </c>
      <c r="K4" s="30">
        <v>2</v>
      </c>
      <c r="L4" s="30">
        <v>2</v>
      </c>
      <c r="M4" s="29">
        <v>42.06</v>
      </c>
      <c r="P4">
        <f t="shared" ref="P4:P67" si="0">IF(ISBLANK(E4),IF(ISBLANK(F4),"",100), IF(E4+F4=0, 0, IF(G4=3600, IF(E4=F4,1,(E4-F4)/E4*100), 0)))</f>
        <v>0</v>
      </c>
      <c r="Q4" s="7">
        <f t="shared" ref="Q4:Q67" si="1">IF(ISBLANK(K4),"",IF(K4+L4=0,0,IF(M4=3600,IF(K4=L4,1,(K4-L4)/K4*100),0)))</f>
        <v>0</v>
      </c>
      <c r="R4" t="str">
        <f t="shared" ref="R4:R67" si="2">IF(OR(AND(P4=0,E4&gt;K4),L4&gt;E4),TRUE,"")</f>
        <v/>
      </c>
    </row>
    <row r="5" spans="1:19" x14ac:dyDescent="0.3">
      <c r="A5">
        <v>30</v>
      </c>
      <c r="B5">
        <v>2</v>
      </c>
      <c r="C5" s="1">
        <v>30</v>
      </c>
      <c r="D5">
        <v>1.1499999999999999</v>
      </c>
      <c r="E5">
        <v>2</v>
      </c>
      <c r="F5">
        <v>2</v>
      </c>
      <c r="G5">
        <v>7.0999999999999994E-2</v>
      </c>
      <c r="H5">
        <v>0</v>
      </c>
      <c r="I5">
        <v>0</v>
      </c>
      <c r="J5" s="1">
        <v>1</v>
      </c>
      <c r="K5" s="30">
        <v>2</v>
      </c>
      <c r="L5" s="30">
        <v>2</v>
      </c>
      <c r="M5" s="29">
        <v>56.06</v>
      </c>
      <c r="P5">
        <f t="shared" si="0"/>
        <v>0</v>
      </c>
      <c r="Q5" s="7">
        <f t="shared" si="1"/>
        <v>0</v>
      </c>
      <c r="R5" t="str">
        <f t="shared" si="2"/>
        <v/>
      </c>
    </row>
    <row r="6" spans="1:19" x14ac:dyDescent="0.3">
      <c r="A6">
        <v>30</v>
      </c>
      <c r="B6">
        <v>2</v>
      </c>
      <c r="C6" s="1">
        <v>40</v>
      </c>
      <c r="D6">
        <v>1.1499999999999999</v>
      </c>
      <c r="E6">
        <v>2</v>
      </c>
      <c r="F6">
        <v>2</v>
      </c>
      <c r="G6">
        <v>8.7999999999999995E-2</v>
      </c>
      <c r="H6">
        <v>0</v>
      </c>
      <c r="I6">
        <v>0</v>
      </c>
      <c r="J6" s="1">
        <v>1</v>
      </c>
      <c r="K6" s="30">
        <v>2</v>
      </c>
      <c r="L6" s="30">
        <v>2</v>
      </c>
      <c r="M6" s="29">
        <v>59.93</v>
      </c>
      <c r="P6">
        <f t="shared" si="0"/>
        <v>0</v>
      </c>
      <c r="Q6" s="7">
        <f t="shared" si="1"/>
        <v>0</v>
      </c>
      <c r="R6" t="str">
        <f t="shared" si="2"/>
        <v/>
      </c>
    </row>
    <row r="7" spans="1:19" x14ac:dyDescent="0.3">
      <c r="A7">
        <v>30</v>
      </c>
      <c r="B7">
        <v>2</v>
      </c>
      <c r="C7" s="1">
        <v>50</v>
      </c>
      <c r="D7">
        <v>1.1499999999999999</v>
      </c>
      <c r="E7">
        <v>2</v>
      </c>
      <c r="F7">
        <v>2</v>
      </c>
      <c r="G7">
        <v>6.4000000000000001E-2</v>
      </c>
      <c r="H7">
        <v>0</v>
      </c>
      <c r="I7">
        <v>0</v>
      </c>
      <c r="J7" s="1">
        <v>1</v>
      </c>
      <c r="K7" s="30">
        <v>2</v>
      </c>
      <c r="L7" s="30">
        <v>2</v>
      </c>
      <c r="M7" s="29">
        <v>76.28</v>
      </c>
      <c r="P7">
        <f t="shared" si="0"/>
        <v>0</v>
      </c>
      <c r="Q7" s="7">
        <f t="shared" si="1"/>
        <v>0</v>
      </c>
      <c r="R7" t="str">
        <f t="shared" si="2"/>
        <v/>
      </c>
    </row>
    <row r="8" spans="1:19" x14ac:dyDescent="0.3">
      <c r="A8">
        <v>30</v>
      </c>
      <c r="B8">
        <v>2</v>
      </c>
      <c r="C8" s="1">
        <v>60</v>
      </c>
      <c r="D8">
        <v>1.1499999999999999</v>
      </c>
      <c r="E8">
        <v>2</v>
      </c>
      <c r="F8">
        <v>2</v>
      </c>
      <c r="G8">
        <v>7.1999999999999995E-2</v>
      </c>
      <c r="H8">
        <v>0</v>
      </c>
      <c r="I8">
        <v>0</v>
      </c>
      <c r="J8" s="1">
        <v>1</v>
      </c>
      <c r="K8" s="30">
        <v>2</v>
      </c>
      <c r="L8" s="30">
        <v>2</v>
      </c>
      <c r="M8" s="29">
        <v>60.27</v>
      </c>
      <c r="P8">
        <f t="shared" si="0"/>
        <v>0</v>
      </c>
      <c r="Q8" s="7">
        <f t="shared" si="1"/>
        <v>0</v>
      </c>
      <c r="R8" t="str">
        <f t="shared" si="2"/>
        <v/>
      </c>
    </row>
    <row r="9" spans="1:19" x14ac:dyDescent="0.3">
      <c r="A9">
        <v>30</v>
      </c>
      <c r="B9">
        <v>2</v>
      </c>
      <c r="C9" s="1">
        <v>70</v>
      </c>
      <c r="D9">
        <v>1.1499999999999999</v>
      </c>
      <c r="E9">
        <v>2</v>
      </c>
      <c r="F9">
        <v>2</v>
      </c>
      <c r="G9">
        <v>6.9000000000000006E-2</v>
      </c>
      <c r="H9">
        <v>0</v>
      </c>
      <c r="I9">
        <v>0</v>
      </c>
      <c r="J9" s="1">
        <v>1</v>
      </c>
      <c r="K9" s="30">
        <v>2</v>
      </c>
      <c r="L9" s="30">
        <v>2</v>
      </c>
      <c r="M9" s="29">
        <v>69.17</v>
      </c>
      <c r="P9">
        <f t="shared" si="0"/>
        <v>0</v>
      </c>
      <c r="Q9" s="7">
        <f t="shared" si="1"/>
        <v>0</v>
      </c>
      <c r="R9" t="str">
        <f t="shared" si="2"/>
        <v/>
      </c>
    </row>
    <row r="10" spans="1:19" x14ac:dyDescent="0.3">
      <c r="A10">
        <v>30</v>
      </c>
      <c r="B10">
        <v>2</v>
      </c>
      <c r="C10" s="1">
        <v>80</v>
      </c>
      <c r="D10">
        <v>1.1499999999999999</v>
      </c>
      <c r="E10">
        <v>2</v>
      </c>
      <c r="F10">
        <v>2</v>
      </c>
      <c r="G10">
        <v>7.0999999999999994E-2</v>
      </c>
      <c r="H10">
        <v>0</v>
      </c>
      <c r="I10">
        <v>0</v>
      </c>
      <c r="J10" s="1">
        <v>1</v>
      </c>
      <c r="K10" s="30">
        <v>2</v>
      </c>
      <c r="L10" s="30">
        <v>2</v>
      </c>
      <c r="M10" s="29">
        <v>59.68</v>
      </c>
      <c r="P10">
        <f t="shared" si="0"/>
        <v>0</v>
      </c>
      <c r="Q10" s="7">
        <f t="shared" si="1"/>
        <v>0</v>
      </c>
      <c r="R10" t="str">
        <f t="shared" si="2"/>
        <v/>
      </c>
    </row>
    <row r="11" spans="1:19" x14ac:dyDescent="0.3">
      <c r="A11">
        <v>30</v>
      </c>
      <c r="B11">
        <v>2</v>
      </c>
      <c r="C11" s="1">
        <v>90</v>
      </c>
      <c r="D11">
        <v>1.1499999999999999</v>
      </c>
      <c r="E11">
        <v>2</v>
      </c>
      <c r="F11">
        <v>2</v>
      </c>
      <c r="G11">
        <v>4.8000000000000001E-2</v>
      </c>
      <c r="H11">
        <v>0</v>
      </c>
      <c r="I11">
        <v>0</v>
      </c>
      <c r="J11" s="1">
        <v>1</v>
      </c>
      <c r="K11" s="30">
        <v>2</v>
      </c>
      <c r="L11" s="30">
        <v>2</v>
      </c>
      <c r="M11" s="29">
        <v>50.75</v>
      </c>
      <c r="P11">
        <f t="shared" si="0"/>
        <v>0</v>
      </c>
      <c r="Q11" s="7">
        <f t="shared" si="1"/>
        <v>0</v>
      </c>
      <c r="R11" t="str">
        <f t="shared" si="2"/>
        <v/>
      </c>
    </row>
    <row r="12" spans="1:19" s="2" customFormat="1" x14ac:dyDescent="0.3">
      <c r="A12" s="2">
        <v>30</v>
      </c>
      <c r="B12" s="2">
        <v>2</v>
      </c>
      <c r="C12" s="3">
        <v>100</v>
      </c>
      <c r="D12" s="2">
        <v>1.1499999999999999</v>
      </c>
      <c r="E12" s="2">
        <v>2</v>
      </c>
      <c r="F12" s="2">
        <v>2</v>
      </c>
      <c r="G12" s="2">
        <v>8.2000000000000003E-2</v>
      </c>
      <c r="H12" s="2">
        <v>0</v>
      </c>
      <c r="I12" s="2">
        <v>0</v>
      </c>
      <c r="J12" s="3">
        <v>1</v>
      </c>
      <c r="K12" s="31">
        <v>2</v>
      </c>
      <c r="L12" s="31">
        <v>2</v>
      </c>
      <c r="M12" s="32">
        <v>71.67</v>
      </c>
      <c r="N12" s="5">
        <f>AVERAGE(G3:G12)</f>
        <v>7.1099999999999997E-2</v>
      </c>
      <c r="O12" s="19">
        <f>AVERAGE(M3:M12)</f>
        <v>65.239999999999995</v>
      </c>
      <c r="P12" s="2">
        <f t="shared" si="0"/>
        <v>0</v>
      </c>
      <c r="Q12" s="8">
        <f t="shared" si="1"/>
        <v>0</v>
      </c>
      <c r="R12" s="2" t="str">
        <f t="shared" si="2"/>
        <v/>
      </c>
    </row>
    <row r="13" spans="1:19" x14ac:dyDescent="0.3">
      <c r="A13">
        <v>30</v>
      </c>
      <c r="B13">
        <v>3</v>
      </c>
      <c r="C13" s="1">
        <v>10</v>
      </c>
      <c r="D13">
        <v>1.1499999999999999</v>
      </c>
      <c r="E13">
        <v>1</v>
      </c>
      <c r="F13">
        <v>1</v>
      </c>
      <c r="G13">
        <v>7.4999999999999997E-2</v>
      </c>
      <c r="H13">
        <v>0</v>
      </c>
      <c r="I13">
        <v>0</v>
      </c>
      <c r="J13" s="1">
        <v>1</v>
      </c>
      <c r="K13" s="30">
        <v>1</v>
      </c>
      <c r="L13" s="30">
        <v>1</v>
      </c>
      <c r="M13" s="29">
        <v>11.82</v>
      </c>
      <c r="P13">
        <f t="shared" si="0"/>
        <v>0</v>
      </c>
      <c r="Q13" s="7">
        <f t="shared" si="1"/>
        <v>0</v>
      </c>
      <c r="R13" t="str">
        <f t="shared" si="2"/>
        <v/>
      </c>
    </row>
    <row r="14" spans="1:19" x14ac:dyDescent="0.3">
      <c r="A14">
        <v>30</v>
      </c>
      <c r="B14">
        <v>3</v>
      </c>
      <c r="C14" s="1">
        <v>20</v>
      </c>
      <c r="D14">
        <v>1.1499999999999999</v>
      </c>
      <c r="E14">
        <v>1</v>
      </c>
      <c r="F14">
        <v>1</v>
      </c>
      <c r="G14">
        <v>7.2999999999999995E-2</v>
      </c>
      <c r="H14">
        <v>0</v>
      </c>
      <c r="I14">
        <v>0</v>
      </c>
      <c r="J14" s="1">
        <v>1</v>
      </c>
      <c r="K14" s="30">
        <v>1</v>
      </c>
      <c r="L14" s="30">
        <v>1</v>
      </c>
      <c r="M14" s="29">
        <v>30.17</v>
      </c>
      <c r="P14">
        <f t="shared" si="0"/>
        <v>0</v>
      </c>
      <c r="Q14" s="7">
        <f t="shared" si="1"/>
        <v>0</v>
      </c>
      <c r="R14" t="str">
        <f t="shared" si="2"/>
        <v/>
      </c>
    </row>
    <row r="15" spans="1:19" x14ac:dyDescent="0.3">
      <c r="A15">
        <v>30</v>
      </c>
      <c r="B15">
        <v>3</v>
      </c>
      <c r="C15" s="1">
        <v>30</v>
      </c>
      <c r="D15">
        <v>1.1499999999999999</v>
      </c>
      <c r="E15">
        <v>1</v>
      </c>
      <c r="F15">
        <v>1</v>
      </c>
      <c r="G15">
        <v>7.3999999999999996E-2</v>
      </c>
      <c r="H15">
        <v>0</v>
      </c>
      <c r="I15">
        <v>0</v>
      </c>
      <c r="J15" s="1">
        <v>1</v>
      </c>
      <c r="K15" s="30">
        <v>1</v>
      </c>
      <c r="L15" s="30">
        <v>1</v>
      </c>
      <c r="M15" s="29">
        <v>56.47</v>
      </c>
      <c r="P15">
        <f t="shared" si="0"/>
        <v>0</v>
      </c>
      <c r="Q15" s="7">
        <f t="shared" si="1"/>
        <v>0</v>
      </c>
      <c r="R15" t="str">
        <f t="shared" si="2"/>
        <v/>
      </c>
    </row>
    <row r="16" spans="1:19" x14ac:dyDescent="0.3">
      <c r="A16">
        <v>30</v>
      </c>
      <c r="B16">
        <v>3</v>
      </c>
      <c r="C16" s="1">
        <v>40</v>
      </c>
      <c r="D16">
        <v>1.1499999999999999</v>
      </c>
      <c r="E16">
        <v>1</v>
      </c>
      <c r="F16">
        <v>1</v>
      </c>
      <c r="G16">
        <v>7.8E-2</v>
      </c>
      <c r="H16">
        <v>0</v>
      </c>
      <c r="I16">
        <v>0</v>
      </c>
      <c r="J16" s="1">
        <v>1</v>
      </c>
      <c r="K16" s="30">
        <v>1</v>
      </c>
      <c r="L16" s="30">
        <v>1</v>
      </c>
      <c r="M16" s="29">
        <v>59.9</v>
      </c>
      <c r="P16">
        <f t="shared" si="0"/>
        <v>0</v>
      </c>
      <c r="Q16" s="7">
        <f t="shared" si="1"/>
        <v>0</v>
      </c>
      <c r="R16" t="str">
        <f t="shared" si="2"/>
        <v/>
      </c>
    </row>
    <row r="17" spans="1:18" x14ac:dyDescent="0.3">
      <c r="A17">
        <v>30</v>
      </c>
      <c r="B17">
        <v>3</v>
      </c>
      <c r="C17" s="1">
        <v>50</v>
      </c>
      <c r="D17">
        <v>1.1499999999999999</v>
      </c>
      <c r="E17">
        <v>2</v>
      </c>
      <c r="F17">
        <v>2</v>
      </c>
      <c r="G17">
        <v>9.5000000000000001E-2</v>
      </c>
      <c r="H17">
        <v>0</v>
      </c>
      <c r="I17">
        <v>0</v>
      </c>
      <c r="J17" s="1">
        <v>1</v>
      </c>
      <c r="K17" s="30">
        <v>2</v>
      </c>
      <c r="L17" s="30">
        <v>1</v>
      </c>
      <c r="M17" s="29">
        <v>3600</v>
      </c>
      <c r="P17">
        <f t="shared" si="0"/>
        <v>0</v>
      </c>
      <c r="Q17" s="7">
        <f t="shared" si="1"/>
        <v>50</v>
      </c>
      <c r="R17" t="str">
        <f t="shared" si="2"/>
        <v/>
      </c>
    </row>
    <row r="18" spans="1:18" x14ac:dyDescent="0.3">
      <c r="A18">
        <v>30</v>
      </c>
      <c r="B18">
        <v>3</v>
      </c>
      <c r="C18" s="1">
        <v>60</v>
      </c>
      <c r="D18">
        <v>1.1499999999999999</v>
      </c>
      <c r="E18">
        <v>2</v>
      </c>
      <c r="F18">
        <v>2</v>
      </c>
      <c r="G18">
        <v>7.6999999999999999E-2</v>
      </c>
      <c r="H18">
        <v>0</v>
      </c>
      <c r="I18">
        <v>0</v>
      </c>
      <c r="J18" s="1">
        <v>1</v>
      </c>
      <c r="K18" s="30">
        <v>2</v>
      </c>
      <c r="L18" s="30">
        <v>1</v>
      </c>
      <c r="M18" s="29">
        <v>3600</v>
      </c>
      <c r="P18">
        <f t="shared" si="0"/>
        <v>0</v>
      </c>
      <c r="Q18" s="7">
        <f t="shared" si="1"/>
        <v>50</v>
      </c>
      <c r="R18" t="str">
        <f t="shared" si="2"/>
        <v/>
      </c>
    </row>
    <row r="19" spans="1:18" x14ac:dyDescent="0.3">
      <c r="A19">
        <v>30</v>
      </c>
      <c r="B19">
        <v>3</v>
      </c>
      <c r="C19" s="1">
        <v>70</v>
      </c>
      <c r="D19">
        <v>1.1499999999999999</v>
      </c>
      <c r="E19">
        <v>1</v>
      </c>
      <c r="F19">
        <v>1</v>
      </c>
      <c r="G19">
        <v>5.8999999999999997E-2</v>
      </c>
      <c r="H19">
        <v>0</v>
      </c>
      <c r="I19">
        <v>0</v>
      </c>
      <c r="J19" s="1">
        <v>1</v>
      </c>
      <c r="K19" s="30">
        <v>1</v>
      </c>
      <c r="L19" s="30">
        <v>1</v>
      </c>
      <c r="M19" s="29">
        <v>12.09</v>
      </c>
      <c r="P19">
        <f t="shared" si="0"/>
        <v>0</v>
      </c>
      <c r="Q19" s="7">
        <f t="shared" si="1"/>
        <v>0</v>
      </c>
      <c r="R19" t="str">
        <f t="shared" si="2"/>
        <v/>
      </c>
    </row>
    <row r="20" spans="1:18" x14ac:dyDescent="0.3">
      <c r="A20">
        <v>30</v>
      </c>
      <c r="B20">
        <v>3</v>
      </c>
      <c r="C20" s="1">
        <v>80</v>
      </c>
      <c r="D20">
        <v>1.1499999999999999</v>
      </c>
      <c r="E20">
        <v>1</v>
      </c>
      <c r="F20">
        <v>1</v>
      </c>
      <c r="G20">
        <v>6.0999999999999999E-2</v>
      </c>
      <c r="H20">
        <v>0</v>
      </c>
      <c r="I20">
        <v>0</v>
      </c>
      <c r="J20" s="1">
        <v>1</v>
      </c>
      <c r="K20" s="30">
        <v>1</v>
      </c>
      <c r="L20" s="30">
        <v>1</v>
      </c>
      <c r="M20" s="29">
        <v>11.98</v>
      </c>
      <c r="P20">
        <f t="shared" si="0"/>
        <v>0</v>
      </c>
      <c r="Q20" s="7">
        <f t="shared" si="1"/>
        <v>0</v>
      </c>
      <c r="R20" t="str">
        <f t="shared" si="2"/>
        <v/>
      </c>
    </row>
    <row r="21" spans="1:18" x14ac:dyDescent="0.3">
      <c r="A21">
        <v>30</v>
      </c>
      <c r="B21">
        <v>3</v>
      </c>
      <c r="C21" s="1">
        <v>90</v>
      </c>
      <c r="D21">
        <v>1.1499999999999999</v>
      </c>
      <c r="E21">
        <v>1</v>
      </c>
      <c r="F21">
        <v>1</v>
      </c>
      <c r="G21">
        <v>6.2E-2</v>
      </c>
      <c r="H21">
        <v>0</v>
      </c>
      <c r="I21">
        <v>0</v>
      </c>
      <c r="J21" s="1">
        <v>1</v>
      </c>
      <c r="K21" s="30">
        <v>1</v>
      </c>
      <c r="L21" s="30">
        <v>1</v>
      </c>
      <c r="M21" s="29">
        <v>41.06</v>
      </c>
      <c r="P21">
        <f t="shared" si="0"/>
        <v>0</v>
      </c>
      <c r="Q21" s="7">
        <f t="shared" si="1"/>
        <v>0</v>
      </c>
      <c r="R21" t="str">
        <f t="shared" si="2"/>
        <v/>
      </c>
    </row>
    <row r="22" spans="1:18" s="2" customFormat="1" x14ac:dyDescent="0.3">
      <c r="A22" s="2">
        <v>30</v>
      </c>
      <c r="B22" s="2">
        <v>3</v>
      </c>
      <c r="C22" s="3">
        <v>100</v>
      </c>
      <c r="D22" s="2">
        <v>1.1499999999999999</v>
      </c>
      <c r="E22" s="2">
        <v>1</v>
      </c>
      <c r="F22" s="2">
        <v>1</v>
      </c>
      <c r="G22" s="2">
        <v>9.1999999999999998E-2</v>
      </c>
      <c r="H22" s="2">
        <v>0</v>
      </c>
      <c r="I22" s="2">
        <v>0</v>
      </c>
      <c r="J22" s="3">
        <v>1</v>
      </c>
      <c r="K22" s="31">
        <v>1</v>
      </c>
      <c r="L22" s="31">
        <v>1</v>
      </c>
      <c r="M22" s="32">
        <v>12.24</v>
      </c>
      <c r="N22" s="5">
        <f t="shared" ref="N22:N72" si="3">AVERAGE(G13:G22)</f>
        <v>7.4600000000000014E-2</v>
      </c>
      <c r="O22" s="19">
        <f>AVERAGE(M13:M22)</f>
        <v>743.57300000000009</v>
      </c>
      <c r="P22" s="2">
        <f t="shared" si="0"/>
        <v>0</v>
      </c>
      <c r="Q22" s="8">
        <f t="shared" si="1"/>
        <v>0</v>
      </c>
      <c r="R22" s="2" t="str">
        <f t="shared" si="2"/>
        <v/>
      </c>
    </row>
    <row r="23" spans="1:18" x14ac:dyDescent="0.3">
      <c r="A23">
        <v>30</v>
      </c>
      <c r="B23">
        <v>4</v>
      </c>
      <c r="C23" s="1">
        <v>10</v>
      </c>
      <c r="D23">
        <v>1.1499999999999999</v>
      </c>
      <c r="E23">
        <v>0</v>
      </c>
      <c r="F23">
        <v>0</v>
      </c>
      <c r="G23">
        <v>6.2E-2</v>
      </c>
      <c r="H23">
        <v>0</v>
      </c>
      <c r="I23">
        <v>0</v>
      </c>
      <c r="J23" s="1">
        <v>1</v>
      </c>
      <c r="K23" s="30">
        <v>0</v>
      </c>
      <c r="L23" s="30">
        <v>0</v>
      </c>
      <c r="M23" s="29">
        <v>2.63</v>
      </c>
      <c r="P23">
        <f t="shared" si="0"/>
        <v>0</v>
      </c>
      <c r="Q23" s="7">
        <f t="shared" si="1"/>
        <v>0</v>
      </c>
      <c r="R23" t="str">
        <f t="shared" si="2"/>
        <v/>
      </c>
    </row>
    <row r="24" spans="1:18" x14ac:dyDescent="0.3">
      <c r="A24">
        <v>30</v>
      </c>
      <c r="B24">
        <v>4</v>
      </c>
      <c r="C24" s="1">
        <v>20</v>
      </c>
      <c r="D24">
        <v>1.1499999999999999</v>
      </c>
      <c r="E24">
        <v>0</v>
      </c>
      <c r="F24">
        <v>0</v>
      </c>
      <c r="G24">
        <v>6.2E-2</v>
      </c>
      <c r="H24">
        <v>0</v>
      </c>
      <c r="I24">
        <v>0</v>
      </c>
      <c r="J24" s="1">
        <v>1</v>
      </c>
      <c r="K24" s="30">
        <v>0</v>
      </c>
      <c r="L24" s="30">
        <v>0</v>
      </c>
      <c r="M24" s="29">
        <v>4.22</v>
      </c>
      <c r="P24">
        <f t="shared" si="0"/>
        <v>0</v>
      </c>
      <c r="Q24" s="7">
        <f t="shared" si="1"/>
        <v>0</v>
      </c>
      <c r="R24" t="str">
        <f t="shared" si="2"/>
        <v/>
      </c>
    </row>
    <row r="25" spans="1:18" x14ac:dyDescent="0.3">
      <c r="A25">
        <v>30</v>
      </c>
      <c r="B25">
        <v>4</v>
      </c>
      <c r="C25" s="1">
        <v>30</v>
      </c>
      <c r="D25">
        <v>1.1499999999999999</v>
      </c>
      <c r="E25">
        <v>0</v>
      </c>
      <c r="F25">
        <v>0</v>
      </c>
      <c r="G25">
        <v>0.06</v>
      </c>
      <c r="H25">
        <v>0</v>
      </c>
      <c r="I25">
        <v>0</v>
      </c>
      <c r="J25" s="1">
        <v>1</v>
      </c>
      <c r="K25" s="30">
        <v>0</v>
      </c>
      <c r="L25" s="30">
        <v>0</v>
      </c>
      <c r="M25" s="29">
        <v>4.1500000000000004</v>
      </c>
      <c r="P25">
        <f t="shared" si="0"/>
        <v>0</v>
      </c>
      <c r="Q25" s="7">
        <f t="shared" si="1"/>
        <v>0</v>
      </c>
      <c r="R25" t="str">
        <f t="shared" si="2"/>
        <v/>
      </c>
    </row>
    <row r="26" spans="1:18" x14ac:dyDescent="0.3">
      <c r="A26">
        <v>30</v>
      </c>
      <c r="B26">
        <v>4</v>
      </c>
      <c r="C26" s="1">
        <v>40</v>
      </c>
      <c r="D26">
        <v>1.1499999999999999</v>
      </c>
      <c r="E26">
        <v>0</v>
      </c>
      <c r="F26">
        <v>0</v>
      </c>
      <c r="G26">
        <v>7.1999999999999995E-2</v>
      </c>
      <c r="H26">
        <v>0</v>
      </c>
      <c r="I26">
        <v>0</v>
      </c>
      <c r="J26" s="1">
        <v>1</v>
      </c>
      <c r="K26" s="30">
        <v>0</v>
      </c>
      <c r="L26" s="30">
        <v>0</v>
      </c>
      <c r="M26" s="29">
        <v>5.64</v>
      </c>
      <c r="P26">
        <f t="shared" si="0"/>
        <v>0</v>
      </c>
      <c r="Q26" s="7">
        <f t="shared" si="1"/>
        <v>0</v>
      </c>
      <c r="R26" t="str">
        <f t="shared" si="2"/>
        <v/>
      </c>
    </row>
    <row r="27" spans="1:18" x14ac:dyDescent="0.3">
      <c r="A27">
        <v>30</v>
      </c>
      <c r="B27">
        <v>4</v>
      </c>
      <c r="C27" s="1">
        <v>50</v>
      </c>
      <c r="D27">
        <v>1.1499999999999999</v>
      </c>
      <c r="E27">
        <v>0</v>
      </c>
      <c r="F27">
        <v>0</v>
      </c>
      <c r="G27">
        <v>6.2E-2</v>
      </c>
      <c r="H27">
        <v>0</v>
      </c>
      <c r="I27">
        <v>0</v>
      </c>
      <c r="J27" s="1">
        <v>1</v>
      </c>
      <c r="K27" s="30">
        <v>0</v>
      </c>
      <c r="L27" s="30">
        <v>0</v>
      </c>
      <c r="M27" s="29">
        <v>4.55</v>
      </c>
      <c r="P27">
        <f t="shared" si="0"/>
        <v>0</v>
      </c>
      <c r="Q27" s="7">
        <f t="shared" si="1"/>
        <v>0</v>
      </c>
      <c r="R27" t="str">
        <f t="shared" si="2"/>
        <v/>
      </c>
    </row>
    <row r="28" spans="1:18" x14ac:dyDescent="0.3">
      <c r="A28">
        <v>30</v>
      </c>
      <c r="B28">
        <v>4</v>
      </c>
      <c r="C28" s="1">
        <v>60</v>
      </c>
      <c r="D28">
        <v>1.1499999999999999</v>
      </c>
      <c r="E28">
        <v>0</v>
      </c>
      <c r="F28">
        <v>0</v>
      </c>
      <c r="G28">
        <v>6.2E-2</v>
      </c>
      <c r="H28">
        <v>0</v>
      </c>
      <c r="I28">
        <v>0</v>
      </c>
      <c r="J28" s="1">
        <v>1</v>
      </c>
      <c r="K28" s="30">
        <v>0</v>
      </c>
      <c r="L28" s="30">
        <v>0</v>
      </c>
      <c r="M28" s="29">
        <v>2.37</v>
      </c>
      <c r="P28">
        <f t="shared" si="0"/>
        <v>0</v>
      </c>
      <c r="Q28" s="7">
        <f t="shared" si="1"/>
        <v>0</v>
      </c>
      <c r="R28" t="str">
        <f t="shared" si="2"/>
        <v/>
      </c>
    </row>
    <row r="29" spans="1:18" x14ac:dyDescent="0.3">
      <c r="A29">
        <v>30</v>
      </c>
      <c r="B29">
        <v>4</v>
      </c>
      <c r="C29" s="1">
        <v>70</v>
      </c>
      <c r="D29">
        <v>1.1499999999999999</v>
      </c>
      <c r="E29">
        <v>0</v>
      </c>
      <c r="F29">
        <v>0</v>
      </c>
      <c r="G29">
        <v>6.3E-2</v>
      </c>
      <c r="H29">
        <v>0</v>
      </c>
      <c r="I29">
        <v>0</v>
      </c>
      <c r="J29" s="1">
        <v>1</v>
      </c>
      <c r="K29" s="30">
        <v>0</v>
      </c>
      <c r="L29" s="30">
        <v>0</v>
      </c>
      <c r="M29" s="29">
        <v>2.25</v>
      </c>
      <c r="P29">
        <f t="shared" si="0"/>
        <v>0</v>
      </c>
      <c r="Q29" s="7">
        <f t="shared" si="1"/>
        <v>0</v>
      </c>
      <c r="R29" t="str">
        <f t="shared" si="2"/>
        <v/>
      </c>
    </row>
    <row r="30" spans="1:18" x14ac:dyDescent="0.3">
      <c r="A30">
        <v>30</v>
      </c>
      <c r="B30">
        <v>4</v>
      </c>
      <c r="C30" s="1">
        <v>80</v>
      </c>
      <c r="D30">
        <v>1.1499999999999999</v>
      </c>
      <c r="E30">
        <v>0</v>
      </c>
      <c r="F30">
        <v>0</v>
      </c>
      <c r="G30">
        <v>6.2E-2</v>
      </c>
      <c r="H30">
        <v>0</v>
      </c>
      <c r="I30">
        <v>0</v>
      </c>
      <c r="J30" s="1">
        <v>1</v>
      </c>
      <c r="K30" s="30">
        <v>0</v>
      </c>
      <c r="L30" s="30">
        <v>0</v>
      </c>
      <c r="M30" s="29">
        <v>1.95</v>
      </c>
      <c r="P30">
        <f t="shared" si="0"/>
        <v>0</v>
      </c>
      <c r="Q30" s="7">
        <f t="shared" si="1"/>
        <v>0</v>
      </c>
      <c r="R30" t="str">
        <f t="shared" si="2"/>
        <v/>
      </c>
    </row>
    <row r="31" spans="1:18" x14ac:dyDescent="0.3">
      <c r="A31">
        <v>30</v>
      </c>
      <c r="B31">
        <v>4</v>
      </c>
      <c r="C31" s="1">
        <v>90</v>
      </c>
      <c r="D31">
        <v>1.1499999999999999</v>
      </c>
      <c r="E31">
        <v>0</v>
      </c>
      <c r="F31">
        <v>0</v>
      </c>
      <c r="G31">
        <v>6.0999999999999999E-2</v>
      </c>
      <c r="H31">
        <v>0</v>
      </c>
      <c r="I31">
        <v>0</v>
      </c>
      <c r="J31" s="1">
        <v>1</v>
      </c>
      <c r="K31" s="30">
        <v>0</v>
      </c>
      <c r="L31" s="30">
        <v>0</v>
      </c>
      <c r="M31" s="29">
        <v>2.92</v>
      </c>
      <c r="P31">
        <f t="shared" si="0"/>
        <v>0</v>
      </c>
      <c r="Q31" s="7">
        <f t="shared" si="1"/>
        <v>0</v>
      </c>
      <c r="R31" t="str">
        <f t="shared" si="2"/>
        <v/>
      </c>
    </row>
    <row r="32" spans="1:18" s="2" customFormat="1" x14ac:dyDescent="0.3">
      <c r="A32" s="2">
        <v>30</v>
      </c>
      <c r="B32" s="2">
        <v>4</v>
      </c>
      <c r="C32" s="3">
        <v>100</v>
      </c>
      <c r="D32" s="2">
        <v>1.1499999999999999</v>
      </c>
      <c r="E32" s="2">
        <v>1</v>
      </c>
      <c r="F32" s="2">
        <v>1</v>
      </c>
      <c r="G32" s="2">
        <v>6.0999999999999999E-2</v>
      </c>
      <c r="H32" s="2">
        <v>1</v>
      </c>
      <c r="I32" s="2">
        <v>1</v>
      </c>
      <c r="J32" s="3">
        <v>1</v>
      </c>
      <c r="K32" s="31">
        <v>1</v>
      </c>
      <c r="L32" s="31">
        <v>1</v>
      </c>
      <c r="M32" s="32">
        <v>36.76</v>
      </c>
      <c r="N32" s="5">
        <f t="shared" si="3"/>
        <v>6.2700000000000006E-2</v>
      </c>
      <c r="O32" s="19">
        <f>AVERAGE(M23:M32)</f>
        <v>6.7439999999999998</v>
      </c>
      <c r="P32" s="2">
        <f t="shared" si="0"/>
        <v>0</v>
      </c>
      <c r="Q32" s="8">
        <f t="shared" si="1"/>
        <v>0</v>
      </c>
      <c r="R32" s="2" t="str">
        <f t="shared" si="2"/>
        <v/>
      </c>
    </row>
    <row r="33" spans="1:18" x14ac:dyDescent="0.3">
      <c r="A33">
        <v>30</v>
      </c>
      <c r="B33">
        <v>5</v>
      </c>
      <c r="C33" s="1">
        <v>10</v>
      </c>
      <c r="D33">
        <v>1.1499999999999999</v>
      </c>
      <c r="E33">
        <v>0</v>
      </c>
      <c r="F33">
        <v>0</v>
      </c>
      <c r="G33">
        <v>6.2E-2</v>
      </c>
      <c r="H33">
        <v>1</v>
      </c>
      <c r="I33">
        <v>1</v>
      </c>
      <c r="J33" s="1">
        <v>1</v>
      </c>
      <c r="K33" s="30">
        <v>0</v>
      </c>
      <c r="L33" s="30">
        <v>0</v>
      </c>
      <c r="M33" s="29">
        <v>6.79</v>
      </c>
      <c r="P33">
        <f t="shared" si="0"/>
        <v>0</v>
      </c>
      <c r="Q33" s="7">
        <f t="shared" si="1"/>
        <v>0</v>
      </c>
      <c r="R33" t="str">
        <f t="shared" si="2"/>
        <v/>
      </c>
    </row>
    <row r="34" spans="1:18" x14ac:dyDescent="0.3">
      <c r="A34">
        <v>30</v>
      </c>
      <c r="B34">
        <v>5</v>
      </c>
      <c r="C34" s="1">
        <v>20</v>
      </c>
      <c r="D34">
        <v>1.1499999999999999</v>
      </c>
      <c r="E34">
        <v>0</v>
      </c>
      <c r="F34">
        <v>0</v>
      </c>
      <c r="G34">
        <v>0.06</v>
      </c>
      <c r="H34">
        <v>1</v>
      </c>
      <c r="I34">
        <v>1</v>
      </c>
      <c r="J34" s="1">
        <v>1</v>
      </c>
      <c r="K34" s="30">
        <v>0</v>
      </c>
      <c r="L34" s="30">
        <v>0</v>
      </c>
      <c r="M34" s="29">
        <v>12.33</v>
      </c>
      <c r="P34">
        <f t="shared" si="0"/>
        <v>0</v>
      </c>
      <c r="Q34" s="7">
        <f t="shared" si="1"/>
        <v>0</v>
      </c>
      <c r="R34" t="str">
        <f t="shared" si="2"/>
        <v/>
      </c>
    </row>
    <row r="35" spans="1:18" x14ac:dyDescent="0.3">
      <c r="A35">
        <v>30</v>
      </c>
      <c r="B35">
        <v>5</v>
      </c>
      <c r="C35" s="1">
        <v>30</v>
      </c>
      <c r="D35">
        <v>1.1499999999999999</v>
      </c>
      <c r="E35">
        <v>0</v>
      </c>
      <c r="F35">
        <v>0</v>
      </c>
      <c r="G35">
        <v>6.2E-2</v>
      </c>
      <c r="H35">
        <v>0</v>
      </c>
      <c r="I35">
        <v>0</v>
      </c>
      <c r="J35" s="1">
        <v>1</v>
      </c>
      <c r="K35" s="30">
        <v>0</v>
      </c>
      <c r="L35" s="30">
        <v>0</v>
      </c>
      <c r="M35" s="29">
        <v>3.84</v>
      </c>
      <c r="P35">
        <f t="shared" si="0"/>
        <v>0</v>
      </c>
      <c r="Q35" s="7">
        <f t="shared" si="1"/>
        <v>0</v>
      </c>
      <c r="R35" t="str">
        <f t="shared" si="2"/>
        <v/>
      </c>
    </row>
    <row r="36" spans="1:18" x14ac:dyDescent="0.3">
      <c r="A36">
        <v>30</v>
      </c>
      <c r="B36">
        <v>5</v>
      </c>
      <c r="C36" s="1">
        <v>40</v>
      </c>
      <c r="D36">
        <v>1.1499999999999999</v>
      </c>
      <c r="E36">
        <v>0</v>
      </c>
      <c r="F36">
        <v>0</v>
      </c>
      <c r="G36">
        <v>6.0999999999999999E-2</v>
      </c>
      <c r="H36">
        <v>1</v>
      </c>
      <c r="I36">
        <v>1</v>
      </c>
      <c r="J36" s="1">
        <v>1</v>
      </c>
      <c r="K36" s="30">
        <v>0</v>
      </c>
      <c r="L36" s="30">
        <v>0</v>
      </c>
      <c r="M36" s="29">
        <v>8.84</v>
      </c>
      <c r="P36">
        <f t="shared" si="0"/>
        <v>0</v>
      </c>
      <c r="Q36" s="7">
        <f t="shared" si="1"/>
        <v>0</v>
      </c>
      <c r="R36" t="str">
        <f t="shared" si="2"/>
        <v/>
      </c>
    </row>
    <row r="37" spans="1:18" x14ac:dyDescent="0.3">
      <c r="A37">
        <v>30</v>
      </c>
      <c r="B37">
        <v>5</v>
      </c>
      <c r="C37" s="1">
        <v>50</v>
      </c>
      <c r="D37">
        <v>1.1499999999999999</v>
      </c>
      <c r="E37">
        <v>0</v>
      </c>
      <c r="F37">
        <v>0</v>
      </c>
      <c r="G37">
        <v>6.3E-2</v>
      </c>
      <c r="H37">
        <v>1</v>
      </c>
      <c r="I37">
        <v>1</v>
      </c>
      <c r="J37" s="1">
        <v>1</v>
      </c>
      <c r="K37" s="30">
        <v>0</v>
      </c>
      <c r="L37" s="30">
        <v>0</v>
      </c>
      <c r="M37" s="29">
        <v>5</v>
      </c>
      <c r="P37">
        <f t="shared" si="0"/>
        <v>0</v>
      </c>
      <c r="Q37" s="7">
        <f t="shared" si="1"/>
        <v>0</v>
      </c>
      <c r="R37" t="str">
        <f t="shared" si="2"/>
        <v/>
      </c>
    </row>
    <row r="38" spans="1:18" x14ac:dyDescent="0.3">
      <c r="A38">
        <v>30</v>
      </c>
      <c r="B38">
        <v>5</v>
      </c>
      <c r="C38" s="1">
        <v>60</v>
      </c>
      <c r="D38">
        <v>1.1499999999999999</v>
      </c>
      <c r="E38">
        <v>0</v>
      </c>
      <c r="F38">
        <v>0</v>
      </c>
      <c r="G38">
        <v>6.0999999999999999E-2</v>
      </c>
      <c r="H38">
        <v>1</v>
      </c>
      <c r="I38">
        <v>1</v>
      </c>
      <c r="J38" s="1">
        <v>1</v>
      </c>
      <c r="K38" s="30">
        <v>0</v>
      </c>
      <c r="L38" s="30">
        <v>0</v>
      </c>
      <c r="M38" s="29">
        <v>3.77</v>
      </c>
      <c r="P38">
        <f t="shared" si="0"/>
        <v>0</v>
      </c>
      <c r="Q38" s="7">
        <f t="shared" si="1"/>
        <v>0</v>
      </c>
      <c r="R38" t="str">
        <f t="shared" si="2"/>
        <v/>
      </c>
    </row>
    <row r="39" spans="1:18" x14ac:dyDescent="0.3">
      <c r="A39">
        <v>30</v>
      </c>
      <c r="B39">
        <v>5</v>
      </c>
      <c r="C39" s="1">
        <v>70</v>
      </c>
      <c r="D39">
        <v>1.1499999999999999</v>
      </c>
      <c r="E39">
        <v>0</v>
      </c>
      <c r="F39">
        <v>0</v>
      </c>
      <c r="G39">
        <v>6.2E-2</v>
      </c>
      <c r="H39">
        <v>0</v>
      </c>
      <c r="I39">
        <v>0</v>
      </c>
      <c r="J39" s="1">
        <v>1</v>
      </c>
      <c r="K39" s="30">
        <v>0</v>
      </c>
      <c r="L39" s="30">
        <v>0</v>
      </c>
      <c r="M39" s="29">
        <v>2.85</v>
      </c>
      <c r="P39">
        <f t="shared" si="0"/>
        <v>0</v>
      </c>
      <c r="Q39" s="7">
        <f t="shared" si="1"/>
        <v>0</v>
      </c>
      <c r="R39" t="str">
        <f t="shared" si="2"/>
        <v/>
      </c>
    </row>
    <row r="40" spans="1:18" x14ac:dyDescent="0.3">
      <c r="A40">
        <v>30</v>
      </c>
      <c r="B40">
        <v>5</v>
      </c>
      <c r="C40" s="1">
        <v>80</v>
      </c>
      <c r="D40">
        <v>1.1499999999999999</v>
      </c>
      <c r="E40">
        <v>0</v>
      </c>
      <c r="F40">
        <v>0</v>
      </c>
      <c r="G40">
        <v>6.0999999999999999E-2</v>
      </c>
      <c r="H40">
        <v>0</v>
      </c>
      <c r="I40">
        <v>0</v>
      </c>
      <c r="J40" s="1">
        <v>1</v>
      </c>
      <c r="K40" s="30">
        <v>0</v>
      </c>
      <c r="L40" s="30">
        <v>0</v>
      </c>
      <c r="M40" s="29">
        <v>2.8</v>
      </c>
      <c r="P40">
        <f t="shared" si="0"/>
        <v>0</v>
      </c>
      <c r="Q40" s="7">
        <f t="shared" si="1"/>
        <v>0</v>
      </c>
      <c r="R40" t="str">
        <f t="shared" si="2"/>
        <v/>
      </c>
    </row>
    <row r="41" spans="1:18" x14ac:dyDescent="0.3">
      <c r="A41">
        <v>30</v>
      </c>
      <c r="B41">
        <v>5</v>
      </c>
      <c r="C41" s="1">
        <v>90</v>
      </c>
      <c r="D41">
        <v>1.1499999999999999</v>
      </c>
      <c r="E41">
        <v>0</v>
      </c>
      <c r="F41">
        <v>0</v>
      </c>
      <c r="G41">
        <v>6.3E-2</v>
      </c>
      <c r="H41">
        <v>1</v>
      </c>
      <c r="I41">
        <v>1</v>
      </c>
      <c r="J41" s="1">
        <v>1</v>
      </c>
      <c r="K41" s="30">
        <v>0</v>
      </c>
      <c r="L41" s="30">
        <v>0</v>
      </c>
      <c r="M41" s="29">
        <v>4.5599999999999996</v>
      </c>
      <c r="P41">
        <f t="shared" si="0"/>
        <v>0</v>
      </c>
      <c r="Q41" s="7">
        <f t="shared" si="1"/>
        <v>0</v>
      </c>
      <c r="R41" t="str">
        <f t="shared" si="2"/>
        <v/>
      </c>
    </row>
    <row r="42" spans="1:18" s="2" customFormat="1" x14ac:dyDescent="0.3">
      <c r="A42" s="2">
        <v>30</v>
      </c>
      <c r="B42" s="2">
        <v>5</v>
      </c>
      <c r="C42" s="3">
        <v>100</v>
      </c>
      <c r="D42" s="2">
        <v>1.1499999999999999</v>
      </c>
      <c r="E42" s="2">
        <v>0</v>
      </c>
      <c r="F42" s="2">
        <v>0</v>
      </c>
      <c r="G42" s="2">
        <v>6.0999999999999999E-2</v>
      </c>
      <c r="H42" s="2">
        <v>1</v>
      </c>
      <c r="I42" s="2">
        <v>1</v>
      </c>
      <c r="J42" s="3">
        <v>1</v>
      </c>
      <c r="K42" s="31">
        <v>0</v>
      </c>
      <c r="L42" s="31">
        <v>0</v>
      </c>
      <c r="M42" s="32">
        <v>4.71</v>
      </c>
      <c r="N42" s="5">
        <f t="shared" si="3"/>
        <v>6.1599999999999988E-2</v>
      </c>
      <c r="O42" s="19">
        <f>AVERAGE(M33:M42)</f>
        <v>5.5490000000000004</v>
      </c>
      <c r="P42" s="2">
        <f t="shared" si="0"/>
        <v>0</v>
      </c>
      <c r="Q42" s="8">
        <f t="shared" si="1"/>
        <v>0</v>
      </c>
      <c r="R42" s="2" t="str">
        <f t="shared" si="2"/>
        <v/>
      </c>
    </row>
    <row r="43" spans="1:18" x14ac:dyDescent="0.3">
      <c r="A43">
        <v>40</v>
      </c>
      <c r="B43">
        <v>2</v>
      </c>
      <c r="C43" s="1">
        <v>10</v>
      </c>
      <c r="D43">
        <v>1.1499999999999999</v>
      </c>
      <c r="E43">
        <v>4</v>
      </c>
      <c r="F43">
        <v>4</v>
      </c>
      <c r="G43">
        <v>0.47199999999999998</v>
      </c>
      <c r="H43">
        <v>0</v>
      </c>
      <c r="I43">
        <v>0</v>
      </c>
      <c r="J43" s="1">
        <v>1</v>
      </c>
      <c r="K43" s="30">
        <v>4</v>
      </c>
      <c r="L43" s="30">
        <v>2</v>
      </c>
      <c r="M43" s="29">
        <v>3600</v>
      </c>
      <c r="P43">
        <f t="shared" si="0"/>
        <v>0</v>
      </c>
      <c r="Q43" s="7">
        <f t="shared" si="1"/>
        <v>50</v>
      </c>
      <c r="R43" t="str">
        <f t="shared" si="2"/>
        <v/>
      </c>
    </row>
    <row r="44" spans="1:18" x14ac:dyDescent="0.3">
      <c r="A44">
        <v>40</v>
      </c>
      <c r="B44">
        <v>2</v>
      </c>
      <c r="C44" s="1">
        <v>20</v>
      </c>
      <c r="D44">
        <v>1.1499999999999999</v>
      </c>
      <c r="E44">
        <v>4</v>
      </c>
      <c r="F44">
        <v>4</v>
      </c>
      <c r="G44">
        <v>0.48099999999999998</v>
      </c>
      <c r="H44">
        <v>0</v>
      </c>
      <c r="I44">
        <v>0</v>
      </c>
      <c r="J44" s="1">
        <v>1</v>
      </c>
      <c r="K44" s="30">
        <v>4</v>
      </c>
      <c r="L44" s="30">
        <v>2</v>
      </c>
      <c r="M44" s="29">
        <v>3600</v>
      </c>
      <c r="P44">
        <f t="shared" si="0"/>
        <v>0</v>
      </c>
      <c r="Q44" s="7">
        <f t="shared" si="1"/>
        <v>50</v>
      </c>
      <c r="R44" t="str">
        <f t="shared" si="2"/>
        <v/>
      </c>
    </row>
    <row r="45" spans="1:18" x14ac:dyDescent="0.3">
      <c r="A45">
        <v>40</v>
      </c>
      <c r="B45">
        <v>2</v>
      </c>
      <c r="C45" s="1">
        <v>30</v>
      </c>
      <c r="D45">
        <v>1.1499999999999999</v>
      </c>
      <c r="E45">
        <v>4</v>
      </c>
      <c r="F45">
        <v>4</v>
      </c>
      <c r="G45">
        <v>0.47</v>
      </c>
      <c r="H45">
        <v>0</v>
      </c>
      <c r="I45">
        <v>0</v>
      </c>
      <c r="J45" s="1">
        <v>1</v>
      </c>
      <c r="K45" s="30">
        <v>4</v>
      </c>
      <c r="L45" s="30">
        <v>2</v>
      </c>
      <c r="M45" s="29">
        <v>3600</v>
      </c>
      <c r="P45">
        <f t="shared" si="0"/>
        <v>0</v>
      </c>
      <c r="Q45" s="7">
        <f t="shared" si="1"/>
        <v>50</v>
      </c>
      <c r="R45" t="str">
        <f t="shared" si="2"/>
        <v/>
      </c>
    </row>
    <row r="46" spans="1:18" x14ac:dyDescent="0.3">
      <c r="A46">
        <v>40</v>
      </c>
      <c r="B46">
        <v>2</v>
      </c>
      <c r="C46" s="1">
        <v>40</v>
      </c>
      <c r="D46">
        <v>1.1499999999999999</v>
      </c>
      <c r="E46">
        <v>4</v>
      </c>
      <c r="F46">
        <v>4</v>
      </c>
      <c r="G46">
        <v>0.50600000000000001</v>
      </c>
      <c r="H46">
        <v>0</v>
      </c>
      <c r="I46">
        <v>0</v>
      </c>
      <c r="J46" s="1">
        <v>1</v>
      </c>
      <c r="K46" s="30">
        <v>4</v>
      </c>
      <c r="L46" s="30">
        <v>2</v>
      </c>
      <c r="M46" s="29">
        <v>3600</v>
      </c>
      <c r="P46">
        <f t="shared" si="0"/>
        <v>0</v>
      </c>
      <c r="Q46" s="7">
        <f t="shared" si="1"/>
        <v>50</v>
      </c>
      <c r="R46" t="str">
        <f t="shared" si="2"/>
        <v/>
      </c>
    </row>
    <row r="47" spans="1:18" x14ac:dyDescent="0.3">
      <c r="A47">
        <v>40</v>
      </c>
      <c r="B47">
        <v>2</v>
      </c>
      <c r="C47" s="1">
        <v>50</v>
      </c>
      <c r="D47">
        <v>1.1499999999999999</v>
      </c>
      <c r="E47">
        <v>4</v>
      </c>
      <c r="F47">
        <v>4</v>
      </c>
      <c r="G47">
        <v>0.40600000000000003</v>
      </c>
      <c r="H47">
        <v>0</v>
      </c>
      <c r="I47">
        <v>0</v>
      </c>
      <c r="J47" s="1">
        <v>1</v>
      </c>
      <c r="K47" s="30">
        <v>4</v>
      </c>
      <c r="L47" s="30">
        <v>2</v>
      </c>
      <c r="M47" s="29">
        <v>3600</v>
      </c>
      <c r="P47">
        <f t="shared" si="0"/>
        <v>0</v>
      </c>
      <c r="Q47" s="7">
        <f t="shared" si="1"/>
        <v>50</v>
      </c>
      <c r="R47" t="str">
        <f t="shared" si="2"/>
        <v/>
      </c>
    </row>
    <row r="48" spans="1:18" x14ac:dyDescent="0.3">
      <c r="A48">
        <v>40</v>
      </c>
      <c r="B48">
        <v>2</v>
      </c>
      <c r="C48" s="1">
        <v>60</v>
      </c>
      <c r="D48">
        <v>1.1499999999999999</v>
      </c>
      <c r="E48">
        <v>4</v>
      </c>
      <c r="F48">
        <v>4</v>
      </c>
      <c r="G48">
        <v>0.433</v>
      </c>
      <c r="H48">
        <v>0</v>
      </c>
      <c r="I48">
        <v>0</v>
      </c>
      <c r="J48" s="1">
        <v>1</v>
      </c>
      <c r="K48" s="30">
        <v>4</v>
      </c>
      <c r="L48" s="30">
        <v>2</v>
      </c>
      <c r="M48" s="29">
        <v>3600</v>
      </c>
      <c r="P48">
        <f t="shared" si="0"/>
        <v>0</v>
      </c>
      <c r="Q48" s="7">
        <f t="shared" si="1"/>
        <v>50</v>
      </c>
      <c r="R48" t="str">
        <f t="shared" si="2"/>
        <v/>
      </c>
    </row>
    <row r="49" spans="1:18" x14ac:dyDescent="0.3">
      <c r="A49">
        <v>40</v>
      </c>
      <c r="B49">
        <v>2</v>
      </c>
      <c r="C49" s="1">
        <v>70</v>
      </c>
      <c r="D49">
        <v>1.1499999999999999</v>
      </c>
      <c r="E49">
        <v>4</v>
      </c>
      <c r="F49">
        <v>4</v>
      </c>
      <c r="G49">
        <v>0.48299999999999998</v>
      </c>
      <c r="H49">
        <v>0</v>
      </c>
      <c r="I49">
        <v>0</v>
      </c>
      <c r="J49" s="1">
        <v>1</v>
      </c>
      <c r="K49" s="30">
        <v>4</v>
      </c>
      <c r="L49" s="30">
        <v>3</v>
      </c>
      <c r="M49" s="29">
        <v>3600</v>
      </c>
      <c r="P49">
        <f t="shared" si="0"/>
        <v>0</v>
      </c>
      <c r="Q49" s="7">
        <f t="shared" si="1"/>
        <v>25</v>
      </c>
      <c r="R49" t="str">
        <f t="shared" si="2"/>
        <v/>
      </c>
    </row>
    <row r="50" spans="1:18" x14ac:dyDescent="0.3">
      <c r="A50">
        <v>40</v>
      </c>
      <c r="B50">
        <v>2</v>
      </c>
      <c r="C50" s="1">
        <v>80</v>
      </c>
      <c r="D50">
        <v>1.1499999999999999</v>
      </c>
      <c r="E50">
        <v>4</v>
      </c>
      <c r="F50">
        <v>4</v>
      </c>
      <c r="G50">
        <v>0.48799999999999999</v>
      </c>
      <c r="H50">
        <v>0</v>
      </c>
      <c r="I50">
        <v>0</v>
      </c>
      <c r="J50" s="1">
        <v>1</v>
      </c>
      <c r="K50" s="30">
        <v>4</v>
      </c>
      <c r="L50" s="30">
        <v>3</v>
      </c>
      <c r="M50" s="29">
        <v>3600</v>
      </c>
      <c r="P50">
        <f t="shared" si="0"/>
        <v>0</v>
      </c>
      <c r="Q50" s="7">
        <f t="shared" si="1"/>
        <v>25</v>
      </c>
      <c r="R50" t="str">
        <f t="shared" si="2"/>
        <v/>
      </c>
    </row>
    <row r="51" spans="1:18" x14ac:dyDescent="0.3">
      <c r="A51">
        <v>40</v>
      </c>
      <c r="B51">
        <v>2</v>
      </c>
      <c r="C51" s="1">
        <v>90</v>
      </c>
      <c r="D51">
        <v>1.1499999999999999</v>
      </c>
      <c r="E51">
        <v>4</v>
      </c>
      <c r="F51">
        <v>4</v>
      </c>
      <c r="G51">
        <v>0.46200000000000002</v>
      </c>
      <c r="H51">
        <v>0</v>
      </c>
      <c r="I51">
        <v>0</v>
      </c>
      <c r="J51" s="1">
        <v>1</v>
      </c>
      <c r="K51" s="30">
        <v>4</v>
      </c>
      <c r="L51" s="30">
        <v>2</v>
      </c>
      <c r="M51" s="29">
        <v>3600</v>
      </c>
      <c r="P51">
        <f t="shared" si="0"/>
        <v>0</v>
      </c>
      <c r="Q51" s="7">
        <f t="shared" si="1"/>
        <v>50</v>
      </c>
      <c r="R51" t="str">
        <f t="shared" si="2"/>
        <v/>
      </c>
    </row>
    <row r="52" spans="1:18" s="2" customFormat="1" x14ac:dyDescent="0.3">
      <c r="A52" s="2">
        <v>40</v>
      </c>
      <c r="B52" s="2">
        <v>2</v>
      </c>
      <c r="C52" s="3">
        <v>100</v>
      </c>
      <c r="D52" s="2">
        <v>1.1499999999999999</v>
      </c>
      <c r="E52" s="2">
        <v>4</v>
      </c>
      <c r="F52" s="2">
        <v>4</v>
      </c>
      <c r="G52" s="2">
        <v>0.45500000000000002</v>
      </c>
      <c r="H52" s="2">
        <v>0</v>
      </c>
      <c r="I52" s="2">
        <v>0</v>
      </c>
      <c r="J52" s="3">
        <v>1</v>
      </c>
      <c r="K52" s="31">
        <v>4</v>
      </c>
      <c r="L52" s="31">
        <v>2</v>
      </c>
      <c r="M52" s="32">
        <v>3600</v>
      </c>
      <c r="N52" s="5">
        <f t="shared" si="3"/>
        <v>0.46559999999999996</v>
      </c>
      <c r="O52" s="19">
        <f>AVERAGE(M43:M52)</f>
        <v>3600</v>
      </c>
      <c r="P52" s="2">
        <f t="shared" si="0"/>
        <v>0</v>
      </c>
      <c r="Q52" s="8">
        <f t="shared" si="1"/>
        <v>50</v>
      </c>
      <c r="R52" s="2" t="str">
        <f t="shared" si="2"/>
        <v/>
      </c>
    </row>
    <row r="53" spans="1:18" x14ac:dyDescent="0.3">
      <c r="A53">
        <v>40</v>
      </c>
      <c r="B53">
        <v>3</v>
      </c>
      <c r="C53" s="1">
        <v>10</v>
      </c>
      <c r="D53">
        <v>1.1499999999999999</v>
      </c>
      <c r="E53">
        <v>3</v>
      </c>
      <c r="F53">
        <v>3</v>
      </c>
      <c r="G53">
        <v>0.39</v>
      </c>
      <c r="H53">
        <v>0</v>
      </c>
      <c r="I53">
        <v>0</v>
      </c>
      <c r="J53" s="1">
        <v>1</v>
      </c>
      <c r="K53" s="30">
        <v>3</v>
      </c>
      <c r="L53" s="30">
        <v>2</v>
      </c>
      <c r="M53" s="29">
        <v>3600</v>
      </c>
      <c r="P53">
        <f t="shared" si="0"/>
        <v>0</v>
      </c>
      <c r="Q53" s="7">
        <f t="shared" si="1"/>
        <v>33.333333333333329</v>
      </c>
      <c r="R53" t="str">
        <f t="shared" si="2"/>
        <v/>
      </c>
    </row>
    <row r="54" spans="1:18" x14ac:dyDescent="0.3">
      <c r="A54">
        <v>40</v>
      </c>
      <c r="B54">
        <v>3</v>
      </c>
      <c r="C54" s="1">
        <v>20</v>
      </c>
      <c r="D54">
        <v>1.1499999999999999</v>
      </c>
      <c r="E54">
        <v>3</v>
      </c>
      <c r="F54">
        <v>3</v>
      </c>
      <c r="G54">
        <v>0.38600000000000001</v>
      </c>
      <c r="H54">
        <v>0</v>
      </c>
      <c r="I54">
        <v>0</v>
      </c>
      <c r="J54" s="1">
        <v>1</v>
      </c>
      <c r="K54" s="30">
        <v>3</v>
      </c>
      <c r="L54" s="30">
        <v>2</v>
      </c>
      <c r="M54" s="29">
        <v>3600</v>
      </c>
      <c r="P54">
        <f t="shared" si="0"/>
        <v>0</v>
      </c>
      <c r="Q54" s="7">
        <f t="shared" si="1"/>
        <v>33.333333333333329</v>
      </c>
      <c r="R54" t="str">
        <f t="shared" si="2"/>
        <v/>
      </c>
    </row>
    <row r="55" spans="1:18" x14ac:dyDescent="0.3">
      <c r="A55">
        <v>40</v>
      </c>
      <c r="B55">
        <v>3</v>
      </c>
      <c r="C55" s="1">
        <v>30</v>
      </c>
      <c r="D55">
        <v>1.1499999999999999</v>
      </c>
      <c r="E55">
        <v>3</v>
      </c>
      <c r="F55">
        <v>3</v>
      </c>
      <c r="G55">
        <v>0.38200000000000001</v>
      </c>
      <c r="H55">
        <v>0</v>
      </c>
      <c r="I55">
        <v>0</v>
      </c>
      <c r="J55" s="1">
        <v>1</v>
      </c>
      <c r="K55" s="30">
        <v>3</v>
      </c>
      <c r="L55" s="30">
        <v>2</v>
      </c>
      <c r="M55" s="29">
        <v>3600</v>
      </c>
      <c r="P55">
        <f t="shared" si="0"/>
        <v>0</v>
      </c>
      <c r="Q55" s="7">
        <f t="shared" si="1"/>
        <v>33.333333333333329</v>
      </c>
      <c r="R55" t="str">
        <f t="shared" si="2"/>
        <v/>
      </c>
    </row>
    <row r="56" spans="1:18" x14ac:dyDescent="0.3">
      <c r="A56">
        <v>40</v>
      </c>
      <c r="B56">
        <v>3</v>
      </c>
      <c r="C56" s="1">
        <v>40</v>
      </c>
      <c r="D56">
        <v>1.1499999999999999</v>
      </c>
      <c r="E56">
        <v>3</v>
      </c>
      <c r="F56">
        <v>3</v>
      </c>
      <c r="G56">
        <v>0.36699999999999999</v>
      </c>
      <c r="H56">
        <v>0</v>
      </c>
      <c r="I56">
        <v>0</v>
      </c>
      <c r="J56" s="1">
        <v>1</v>
      </c>
      <c r="K56" s="30">
        <v>3</v>
      </c>
      <c r="L56" s="30">
        <v>2</v>
      </c>
      <c r="M56" s="29">
        <v>3600</v>
      </c>
      <c r="P56">
        <f t="shared" si="0"/>
        <v>0</v>
      </c>
      <c r="Q56" s="7">
        <f t="shared" si="1"/>
        <v>33.333333333333329</v>
      </c>
      <c r="R56" t="str">
        <f t="shared" si="2"/>
        <v/>
      </c>
    </row>
    <row r="57" spans="1:18" x14ac:dyDescent="0.3">
      <c r="A57">
        <v>40</v>
      </c>
      <c r="B57">
        <v>3</v>
      </c>
      <c r="C57" s="1">
        <v>50</v>
      </c>
      <c r="D57">
        <v>1.1499999999999999</v>
      </c>
      <c r="E57">
        <v>3</v>
      </c>
      <c r="F57">
        <v>3</v>
      </c>
      <c r="G57">
        <v>0.40500000000000003</v>
      </c>
      <c r="H57">
        <v>0</v>
      </c>
      <c r="I57">
        <v>0</v>
      </c>
      <c r="J57" s="1">
        <v>1</v>
      </c>
      <c r="K57" s="30">
        <v>3</v>
      </c>
      <c r="L57" s="30">
        <v>2</v>
      </c>
      <c r="M57" s="29">
        <v>3600</v>
      </c>
      <c r="P57">
        <f t="shared" si="0"/>
        <v>0</v>
      </c>
      <c r="Q57" s="7">
        <f t="shared" si="1"/>
        <v>33.333333333333329</v>
      </c>
      <c r="R57" t="str">
        <f t="shared" si="2"/>
        <v/>
      </c>
    </row>
    <row r="58" spans="1:18" x14ac:dyDescent="0.3">
      <c r="A58">
        <v>40</v>
      </c>
      <c r="B58">
        <v>3</v>
      </c>
      <c r="C58" s="1">
        <v>60</v>
      </c>
      <c r="D58">
        <v>1.1499999999999999</v>
      </c>
      <c r="E58">
        <v>3</v>
      </c>
      <c r="F58">
        <v>3</v>
      </c>
      <c r="G58">
        <v>0.42399999999999999</v>
      </c>
      <c r="H58">
        <v>0</v>
      </c>
      <c r="I58">
        <v>0</v>
      </c>
      <c r="J58" s="1">
        <v>1</v>
      </c>
      <c r="K58" s="30">
        <v>3</v>
      </c>
      <c r="L58" s="30">
        <v>2</v>
      </c>
      <c r="M58" s="29">
        <v>3600</v>
      </c>
      <c r="P58">
        <f t="shared" si="0"/>
        <v>0</v>
      </c>
      <c r="Q58" s="7">
        <f t="shared" si="1"/>
        <v>33.333333333333329</v>
      </c>
      <c r="R58" t="str">
        <f t="shared" si="2"/>
        <v/>
      </c>
    </row>
    <row r="59" spans="1:18" x14ac:dyDescent="0.3">
      <c r="A59">
        <v>40</v>
      </c>
      <c r="B59">
        <v>3</v>
      </c>
      <c r="C59" s="1">
        <v>70</v>
      </c>
      <c r="D59">
        <v>1.1499999999999999</v>
      </c>
      <c r="E59">
        <v>3</v>
      </c>
      <c r="F59">
        <v>3</v>
      </c>
      <c r="G59">
        <v>0.39300000000000002</v>
      </c>
      <c r="H59">
        <v>0</v>
      </c>
      <c r="I59">
        <v>0</v>
      </c>
      <c r="J59" s="1">
        <v>1</v>
      </c>
      <c r="K59" s="30">
        <v>3</v>
      </c>
      <c r="L59" s="30">
        <v>2</v>
      </c>
      <c r="M59" s="29">
        <v>3600</v>
      </c>
      <c r="P59">
        <f t="shared" si="0"/>
        <v>0</v>
      </c>
      <c r="Q59" s="7">
        <f t="shared" si="1"/>
        <v>33.333333333333329</v>
      </c>
      <c r="R59" t="str">
        <f t="shared" si="2"/>
        <v/>
      </c>
    </row>
    <row r="60" spans="1:18" x14ac:dyDescent="0.3">
      <c r="A60">
        <v>40</v>
      </c>
      <c r="B60">
        <v>3</v>
      </c>
      <c r="C60" s="1">
        <v>80</v>
      </c>
      <c r="D60">
        <v>1.1499999999999999</v>
      </c>
      <c r="E60">
        <v>3</v>
      </c>
      <c r="F60">
        <v>3</v>
      </c>
      <c r="G60">
        <v>0.35599999999999998</v>
      </c>
      <c r="H60">
        <v>0</v>
      </c>
      <c r="I60">
        <v>0</v>
      </c>
      <c r="J60" s="1">
        <v>1</v>
      </c>
      <c r="K60" s="30">
        <v>3</v>
      </c>
      <c r="L60" s="30">
        <v>2</v>
      </c>
      <c r="M60" s="29">
        <v>3600</v>
      </c>
      <c r="P60">
        <f t="shared" si="0"/>
        <v>0</v>
      </c>
      <c r="Q60" s="7">
        <f t="shared" si="1"/>
        <v>33.333333333333329</v>
      </c>
      <c r="R60" t="str">
        <f t="shared" si="2"/>
        <v/>
      </c>
    </row>
    <row r="61" spans="1:18" x14ac:dyDescent="0.3">
      <c r="A61">
        <v>40</v>
      </c>
      <c r="B61">
        <v>3</v>
      </c>
      <c r="C61" s="1">
        <v>90</v>
      </c>
      <c r="D61">
        <v>1.1499999999999999</v>
      </c>
      <c r="E61">
        <v>3</v>
      </c>
      <c r="F61">
        <v>3</v>
      </c>
      <c r="G61">
        <v>0.38800000000000001</v>
      </c>
      <c r="H61">
        <v>0</v>
      </c>
      <c r="I61">
        <v>0</v>
      </c>
      <c r="J61" s="1">
        <v>1</v>
      </c>
      <c r="K61" s="30">
        <v>3</v>
      </c>
      <c r="L61" s="30">
        <v>2</v>
      </c>
      <c r="M61" s="29">
        <v>3600</v>
      </c>
      <c r="P61">
        <f t="shared" si="0"/>
        <v>0</v>
      </c>
      <c r="Q61" s="7">
        <f t="shared" si="1"/>
        <v>33.333333333333329</v>
      </c>
      <c r="R61" t="str">
        <f t="shared" si="2"/>
        <v/>
      </c>
    </row>
    <row r="62" spans="1:18" s="2" customFormat="1" x14ac:dyDescent="0.3">
      <c r="A62" s="2">
        <v>40</v>
      </c>
      <c r="B62" s="2">
        <v>3</v>
      </c>
      <c r="C62" s="3">
        <v>100</v>
      </c>
      <c r="D62" s="2">
        <v>1.1499999999999999</v>
      </c>
      <c r="E62" s="2">
        <v>3</v>
      </c>
      <c r="F62" s="2">
        <v>3</v>
      </c>
      <c r="G62" s="2">
        <v>0.41199999999999998</v>
      </c>
      <c r="H62" s="2">
        <v>0</v>
      </c>
      <c r="I62" s="2">
        <v>0</v>
      </c>
      <c r="J62" s="3">
        <v>1</v>
      </c>
      <c r="K62" s="31">
        <v>3</v>
      </c>
      <c r="L62" s="31">
        <v>2</v>
      </c>
      <c r="M62" s="32">
        <v>3600</v>
      </c>
      <c r="N62" s="5">
        <f t="shared" si="3"/>
        <v>0.39029999999999998</v>
      </c>
      <c r="O62" s="19">
        <f>AVERAGE(M53:M62)</f>
        <v>3600</v>
      </c>
      <c r="P62" s="2">
        <f t="shared" si="0"/>
        <v>0</v>
      </c>
      <c r="Q62" s="8">
        <f t="shared" si="1"/>
        <v>33.333333333333329</v>
      </c>
      <c r="R62" s="2" t="str">
        <f t="shared" si="2"/>
        <v/>
      </c>
    </row>
    <row r="63" spans="1:18" x14ac:dyDescent="0.3">
      <c r="A63">
        <v>40</v>
      </c>
      <c r="B63">
        <v>4</v>
      </c>
      <c r="C63" s="1">
        <v>10</v>
      </c>
      <c r="D63">
        <v>1.1499999999999999</v>
      </c>
      <c r="E63">
        <v>2</v>
      </c>
      <c r="F63">
        <v>2</v>
      </c>
      <c r="G63">
        <v>0.309</v>
      </c>
      <c r="H63">
        <v>0</v>
      </c>
      <c r="I63">
        <v>0</v>
      </c>
      <c r="J63" s="1">
        <v>1</v>
      </c>
      <c r="K63" s="30">
        <v>2</v>
      </c>
      <c r="L63" s="30">
        <v>2</v>
      </c>
      <c r="M63" s="29">
        <v>2274.73</v>
      </c>
      <c r="P63">
        <f t="shared" si="0"/>
        <v>0</v>
      </c>
      <c r="Q63" s="7">
        <f t="shared" si="1"/>
        <v>0</v>
      </c>
      <c r="R63" t="str">
        <f t="shared" si="2"/>
        <v/>
      </c>
    </row>
    <row r="64" spans="1:18" x14ac:dyDescent="0.3">
      <c r="A64">
        <v>40</v>
      </c>
      <c r="B64">
        <v>4</v>
      </c>
      <c r="C64" s="1">
        <v>20</v>
      </c>
      <c r="D64">
        <v>1.1499999999999999</v>
      </c>
      <c r="E64">
        <v>2</v>
      </c>
      <c r="F64">
        <v>2</v>
      </c>
      <c r="G64">
        <v>0.33900000000000002</v>
      </c>
      <c r="H64">
        <v>0</v>
      </c>
      <c r="I64">
        <v>0</v>
      </c>
      <c r="J64" s="1">
        <v>1</v>
      </c>
      <c r="K64" s="30">
        <v>2</v>
      </c>
      <c r="L64" s="30">
        <v>2</v>
      </c>
      <c r="M64" s="29">
        <v>2415.52</v>
      </c>
      <c r="P64">
        <f t="shared" si="0"/>
        <v>0</v>
      </c>
      <c r="Q64" s="7">
        <f t="shared" si="1"/>
        <v>0</v>
      </c>
      <c r="R64" t="str">
        <f t="shared" si="2"/>
        <v/>
      </c>
    </row>
    <row r="65" spans="1:18" x14ac:dyDescent="0.3">
      <c r="A65">
        <v>40</v>
      </c>
      <c r="B65">
        <v>4</v>
      </c>
      <c r="C65" s="1">
        <v>30</v>
      </c>
      <c r="D65">
        <v>1.1499999999999999</v>
      </c>
      <c r="E65">
        <v>2</v>
      </c>
      <c r="F65">
        <v>2</v>
      </c>
      <c r="G65">
        <v>0.312</v>
      </c>
      <c r="H65">
        <v>0</v>
      </c>
      <c r="I65">
        <v>0</v>
      </c>
      <c r="J65" s="1">
        <v>1</v>
      </c>
      <c r="K65" s="30">
        <v>2</v>
      </c>
      <c r="L65" s="30">
        <v>1</v>
      </c>
      <c r="M65" s="29">
        <v>3600</v>
      </c>
      <c r="P65">
        <f t="shared" si="0"/>
        <v>0</v>
      </c>
      <c r="Q65" s="7">
        <f t="shared" si="1"/>
        <v>50</v>
      </c>
      <c r="R65" t="str">
        <f t="shared" si="2"/>
        <v/>
      </c>
    </row>
    <row r="66" spans="1:18" x14ac:dyDescent="0.3">
      <c r="A66">
        <v>40</v>
      </c>
      <c r="B66">
        <v>4</v>
      </c>
      <c r="C66" s="1">
        <v>40</v>
      </c>
      <c r="D66">
        <v>1.1499999999999999</v>
      </c>
      <c r="E66">
        <v>2</v>
      </c>
      <c r="F66">
        <v>2</v>
      </c>
      <c r="G66">
        <v>0.28199999999999997</v>
      </c>
      <c r="H66">
        <v>0</v>
      </c>
      <c r="I66">
        <v>0</v>
      </c>
      <c r="J66" s="1">
        <v>1</v>
      </c>
      <c r="K66" s="30">
        <v>2</v>
      </c>
      <c r="L66" s="30">
        <v>2</v>
      </c>
      <c r="M66" s="29">
        <v>3408.43</v>
      </c>
      <c r="P66">
        <f t="shared" si="0"/>
        <v>0</v>
      </c>
      <c r="Q66" s="7">
        <f t="shared" si="1"/>
        <v>0</v>
      </c>
      <c r="R66" t="str">
        <f t="shared" si="2"/>
        <v/>
      </c>
    </row>
    <row r="67" spans="1:18" x14ac:dyDescent="0.3">
      <c r="A67">
        <v>40</v>
      </c>
      <c r="B67">
        <v>4</v>
      </c>
      <c r="C67" s="1">
        <v>50</v>
      </c>
      <c r="D67">
        <v>1.1499999999999999</v>
      </c>
      <c r="E67">
        <v>2</v>
      </c>
      <c r="F67">
        <v>2</v>
      </c>
      <c r="G67">
        <v>0.29299999999999998</v>
      </c>
      <c r="H67">
        <v>0</v>
      </c>
      <c r="I67">
        <v>0</v>
      </c>
      <c r="J67" s="1">
        <v>1</v>
      </c>
      <c r="K67" s="30">
        <v>2</v>
      </c>
      <c r="L67" s="30">
        <v>1</v>
      </c>
      <c r="M67" s="29">
        <v>3600</v>
      </c>
      <c r="P67">
        <f t="shared" si="0"/>
        <v>0</v>
      </c>
      <c r="Q67" s="7">
        <f t="shared" si="1"/>
        <v>50</v>
      </c>
      <c r="R67" t="str">
        <f t="shared" si="2"/>
        <v/>
      </c>
    </row>
    <row r="68" spans="1:18" x14ac:dyDescent="0.3">
      <c r="A68">
        <v>40</v>
      </c>
      <c r="B68">
        <v>4</v>
      </c>
      <c r="C68" s="1">
        <v>60</v>
      </c>
      <c r="D68">
        <v>1.1499999999999999</v>
      </c>
      <c r="E68">
        <v>2</v>
      </c>
      <c r="F68">
        <v>2</v>
      </c>
      <c r="G68">
        <v>0.29699999999999999</v>
      </c>
      <c r="H68">
        <v>0</v>
      </c>
      <c r="I68">
        <v>0</v>
      </c>
      <c r="J68" s="1">
        <v>1</v>
      </c>
      <c r="K68" s="30">
        <v>2</v>
      </c>
      <c r="L68" s="30">
        <v>2</v>
      </c>
      <c r="M68" s="29">
        <v>2593.37</v>
      </c>
      <c r="P68">
        <f t="shared" ref="P68:P131" si="4">IF(ISBLANK(E68),IF(ISBLANK(F68),"",100), IF(E68+F68=0, 0, IF(G68=3600, IF(E68=F68,1,(E68-F68)/E68*100), 0)))</f>
        <v>0</v>
      </c>
      <c r="Q68" s="7">
        <f t="shared" ref="Q68:Q131" si="5">IF(ISBLANK(K68),"",IF(K68+L68=0,0,IF(M68=3600,IF(K68=L68,1,(K68-L68)/K68*100),0)))</f>
        <v>0</v>
      </c>
      <c r="R68" t="str">
        <f t="shared" ref="R68:R131" si="6">IF(OR(AND(P68=0,E68&gt;K68),L68&gt;E68),TRUE,"")</f>
        <v/>
      </c>
    </row>
    <row r="69" spans="1:18" x14ac:dyDescent="0.3">
      <c r="A69">
        <v>40</v>
      </c>
      <c r="B69">
        <v>4</v>
      </c>
      <c r="C69" s="1">
        <v>70</v>
      </c>
      <c r="D69">
        <v>1.1499999999999999</v>
      </c>
      <c r="E69">
        <v>2</v>
      </c>
      <c r="F69">
        <v>2</v>
      </c>
      <c r="G69">
        <v>0.34100000000000003</v>
      </c>
      <c r="H69">
        <v>0</v>
      </c>
      <c r="I69">
        <v>0</v>
      </c>
      <c r="J69" s="1">
        <v>1</v>
      </c>
      <c r="K69" s="30">
        <v>2</v>
      </c>
      <c r="L69" s="30">
        <v>2</v>
      </c>
      <c r="M69" s="29">
        <v>2392.5</v>
      </c>
      <c r="P69">
        <f t="shared" si="4"/>
        <v>0</v>
      </c>
      <c r="Q69" s="7">
        <f t="shared" si="5"/>
        <v>0</v>
      </c>
      <c r="R69" t="str">
        <f t="shared" si="6"/>
        <v/>
      </c>
    </row>
    <row r="70" spans="1:18" x14ac:dyDescent="0.3">
      <c r="A70">
        <v>40</v>
      </c>
      <c r="B70">
        <v>4</v>
      </c>
      <c r="C70" s="1">
        <v>80</v>
      </c>
      <c r="D70">
        <v>1.1499999999999999</v>
      </c>
      <c r="E70">
        <v>2</v>
      </c>
      <c r="F70">
        <v>2</v>
      </c>
      <c r="G70">
        <v>0.34499999999999997</v>
      </c>
      <c r="H70">
        <v>0</v>
      </c>
      <c r="I70">
        <v>0</v>
      </c>
      <c r="J70" s="1">
        <v>1</v>
      </c>
      <c r="K70" s="30">
        <v>2</v>
      </c>
      <c r="L70" s="30">
        <v>2</v>
      </c>
      <c r="M70" s="29">
        <v>2920.02</v>
      </c>
      <c r="P70">
        <f t="shared" si="4"/>
        <v>0</v>
      </c>
      <c r="Q70" s="7">
        <f t="shared" si="5"/>
        <v>0</v>
      </c>
      <c r="R70" t="str">
        <f t="shared" si="6"/>
        <v/>
      </c>
    </row>
    <row r="71" spans="1:18" x14ac:dyDescent="0.3">
      <c r="A71">
        <v>40</v>
      </c>
      <c r="B71">
        <v>4</v>
      </c>
      <c r="C71" s="1">
        <v>90</v>
      </c>
      <c r="D71">
        <v>1.1499999999999999</v>
      </c>
      <c r="E71">
        <v>2</v>
      </c>
      <c r="F71">
        <v>2</v>
      </c>
      <c r="G71">
        <v>0.28000000000000003</v>
      </c>
      <c r="H71">
        <v>0</v>
      </c>
      <c r="I71">
        <v>0</v>
      </c>
      <c r="J71" s="1">
        <v>1</v>
      </c>
      <c r="K71" s="30">
        <v>3</v>
      </c>
      <c r="L71" s="30">
        <v>2</v>
      </c>
      <c r="M71" s="29">
        <v>3600</v>
      </c>
      <c r="P71">
        <f t="shared" si="4"/>
        <v>0</v>
      </c>
      <c r="Q71" s="7">
        <f t="shared" si="5"/>
        <v>33.333333333333329</v>
      </c>
      <c r="R71" t="str">
        <f t="shared" si="6"/>
        <v/>
      </c>
    </row>
    <row r="72" spans="1:18" s="2" customFormat="1" x14ac:dyDescent="0.3">
      <c r="A72" s="2">
        <v>40</v>
      </c>
      <c r="B72" s="2">
        <v>4</v>
      </c>
      <c r="C72" s="3">
        <v>100</v>
      </c>
      <c r="D72" s="2">
        <v>1.1499999999999999</v>
      </c>
      <c r="E72" s="2">
        <v>2</v>
      </c>
      <c r="F72" s="2">
        <v>2</v>
      </c>
      <c r="G72" s="2">
        <v>0.34200000000000003</v>
      </c>
      <c r="H72" s="2">
        <v>0</v>
      </c>
      <c r="I72" s="2">
        <v>0</v>
      </c>
      <c r="J72" s="3">
        <v>1</v>
      </c>
      <c r="K72" s="31">
        <v>2</v>
      </c>
      <c r="L72" s="31">
        <v>1</v>
      </c>
      <c r="M72" s="32">
        <v>3600</v>
      </c>
      <c r="N72" s="5">
        <f t="shared" si="3"/>
        <v>0.314</v>
      </c>
      <c r="O72" s="19">
        <f>AVERAGE(M63:M72)</f>
        <v>3040.4569999999999</v>
      </c>
      <c r="P72" s="2">
        <f t="shared" si="4"/>
        <v>0</v>
      </c>
      <c r="Q72" s="8">
        <f t="shared" si="5"/>
        <v>50</v>
      </c>
      <c r="R72" s="2" t="str">
        <f t="shared" si="6"/>
        <v/>
      </c>
    </row>
    <row r="73" spans="1:18" x14ac:dyDescent="0.3">
      <c r="A73">
        <v>40</v>
      </c>
      <c r="B73">
        <v>5</v>
      </c>
      <c r="C73" s="1">
        <v>10</v>
      </c>
      <c r="D73">
        <v>1.1499999999999999</v>
      </c>
      <c r="E73">
        <v>2</v>
      </c>
      <c r="F73">
        <v>2</v>
      </c>
      <c r="G73">
        <v>0.217</v>
      </c>
      <c r="H73">
        <v>0</v>
      </c>
      <c r="I73">
        <v>2</v>
      </c>
      <c r="J73" s="1">
        <v>1</v>
      </c>
      <c r="K73" s="30">
        <v>2</v>
      </c>
      <c r="L73" s="30">
        <v>1</v>
      </c>
      <c r="M73" s="29">
        <v>3600</v>
      </c>
      <c r="P73">
        <f t="shared" si="4"/>
        <v>0</v>
      </c>
      <c r="Q73" s="7">
        <f t="shared" si="5"/>
        <v>50</v>
      </c>
      <c r="R73" t="str">
        <f t="shared" si="6"/>
        <v/>
      </c>
    </row>
    <row r="74" spans="1:18" x14ac:dyDescent="0.3">
      <c r="A74">
        <v>40</v>
      </c>
      <c r="B74">
        <v>5</v>
      </c>
      <c r="C74" s="1">
        <v>20</v>
      </c>
      <c r="D74">
        <v>1.1499999999999999</v>
      </c>
      <c r="E74">
        <v>1</v>
      </c>
      <c r="F74">
        <v>1</v>
      </c>
      <c r="G74">
        <v>0.24199999999999999</v>
      </c>
      <c r="H74">
        <v>0</v>
      </c>
      <c r="I74">
        <v>0</v>
      </c>
      <c r="J74" s="1">
        <v>1</v>
      </c>
      <c r="K74" s="30">
        <v>1</v>
      </c>
      <c r="L74" s="30">
        <v>1</v>
      </c>
      <c r="M74" s="29">
        <v>452.67</v>
      </c>
      <c r="P74">
        <f t="shared" si="4"/>
        <v>0</v>
      </c>
      <c r="Q74" s="7">
        <f t="shared" si="5"/>
        <v>0</v>
      </c>
      <c r="R74" t="str">
        <f t="shared" si="6"/>
        <v/>
      </c>
    </row>
    <row r="75" spans="1:18" x14ac:dyDescent="0.3">
      <c r="A75">
        <v>40</v>
      </c>
      <c r="B75">
        <v>5</v>
      </c>
      <c r="C75" s="1">
        <v>30</v>
      </c>
      <c r="D75">
        <v>1.1499999999999999</v>
      </c>
      <c r="E75">
        <v>2</v>
      </c>
      <c r="F75">
        <v>2</v>
      </c>
      <c r="G75">
        <v>0.56200000000000006</v>
      </c>
      <c r="H75">
        <v>0</v>
      </c>
      <c r="I75">
        <v>2</v>
      </c>
      <c r="J75" s="1">
        <v>2</v>
      </c>
      <c r="K75" s="30">
        <v>2</v>
      </c>
      <c r="L75" s="30">
        <v>1</v>
      </c>
      <c r="M75" s="29">
        <v>3600</v>
      </c>
      <c r="P75">
        <f t="shared" si="4"/>
        <v>0</v>
      </c>
      <c r="Q75" s="7">
        <f t="shared" si="5"/>
        <v>50</v>
      </c>
      <c r="R75" t="str">
        <f t="shared" si="6"/>
        <v/>
      </c>
    </row>
    <row r="76" spans="1:18" x14ac:dyDescent="0.3">
      <c r="A76">
        <v>40</v>
      </c>
      <c r="B76">
        <v>5</v>
      </c>
      <c r="C76" s="1">
        <v>40</v>
      </c>
      <c r="D76">
        <v>1.1499999999999999</v>
      </c>
      <c r="E76">
        <v>1</v>
      </c>
      <c r="F76">
        <v>1</v>
      </c>
      <c r="G76">
        <v>0.248</v>
      </c>
      <c r="H76">
        <v>0</v>
      </c>
      <c r="I76">
        <v>0</v>
      </c>
      <c r="J76" s="1">
        <v>1</v>
      </c>
      <c r="K76" s="30">
        <v>1</v>
      </c>
      <c r="L76" s="30">
        <v>1</v>
      </c>
      <c r="M76" s="29">
        <v>373.73</v>
      </c>
      <c r="P76">
        <f t="shared" si="4"/>
        <v>0</v>
      </c>
      <c r="Q76" s="7">
        <f t="shared" si="5"/>
        <v>0</v>
      </c>
      <c r="R76" t="str">
        <f t="shared" si="6"/>
        <v/>
      </c>
    </row>
    <row r="77" spans="1:18" x14ac:dyDescent="0.3">
      <c r="A77">
        <v>40</v>
      </c>
      <c r="B77">
        <v>5</v>
      </c>
      <c r="C77" s="1">
        <v>50</v>
      </c>
      <c r="D77">
        <v>1.1499999999999999</v>
      </c>
      <c r="E77">
        <v>2</v>
      </c>
      <c r="F77">
        <v>2</v>
      </c>
      <c r="G77">
        <v>2.0790000000000002</v>
      </c>
      <c r="H77">
        <v>0</v>
      </c>
      <c r="I77">
        <v>2</v>
      </c>
      <c r="J77" s="1">
        <v>3</v>
      </c>
      <c r="K77" s="30">
        <v>2</v>
      </c>
      <c r="L77" s="30">
        <v>1</v>
      </c>
      <c r="M77" s="29">
        <v>3600</v>
      </c>
      <c r="P77">
        <f t="shared" si="4"/>
        <v>0</v>
      </c>
      <c r="Q77" s="7">
        <f t="shared" si="5"/>
        <v>50</v>
      </c>
      <c r="R77" t="str">
        <f t="shared" si="6"/>
        <v/>
      </c>
    </row>
    <row r="78" spans="1:18" x14ac:dyDescent="0.3">
      <c r="A78">
        <v>40</v>
      </c>
      <c r="B78">
        <v>5</v>
      </c>
      <c r="C78" s="1">
        <v>60</v>
      </c>
      <c r="D78">
        <v>1.1499999999999999</v>
      </c>
      <c r="E78">
        <v>1</v>
      </c>
      <c r="F78">
        <v>1</v>
      </c>
      <c r="G78">
        <v>0.20599999999999999</v>
      </c>
      <c r="H78">
        <v>0</v>
      </c>
      <c r="I78">
        <v>0</v>
      </c>
      <c r="J78" s="1">
        <v>1</v>
      </c>
      <c r="K78" s="30">
        <v>1</v>
      </c>
      <c r="L78" s="30">
        <v>1</v>
      </c>
      <c r="M78" s="29">
        <v>637.80999999999995</v>
      </c>
      <c r="P78">
        <f t="shared" si="4"/>
        <v>0</v>
      </c>
      <c r="Q78" s="7">
        <f t="shared" si="5"/>
        <v>0</v>
      </c>
      <c r="R78" t="str">
        <f t="shared" si="6"/>
        <v/>
      </c>
    </row>
    <row r="79" spans="1:18" x14ac:dyDescent="0.3">
      <c r="A79">
        <v>40</v>
      </c>
      <c r="B79">
        <v>5</v>
      </c>
      <c r="C79" s="1">
        <v>70</v>
      </c>
      <c r="D79">
        <v>1.1499999999999999</v>
      </c>
      <c r="E79">
        <v>1</v>
      </c>
      <c r="F79">
        <v>1</v>
      </c>
      <c r="G79">
        <v>0.247</v>
      </c>
      <c r="H79">
        <v>0</v>
      </c>
      <c r="I79">
        <v>0</v>
      </c>
      <c r="J79" s="1">
        <v>1</v>
      </c>
      <c r="K79" s="30">
        <v>1</v>
      </c>
      <c r="L79" s="30">
        <v>1</v>
      </c>
      <c r="M79" s="29">
        <v>1137.74</v>
      </c>
      <c r="P79">
        <f t="shared" si="4"/>
        <v>0</v>
      </c>
      <c r="Q79" s="7">
        <f t="shared" si="5"/>
        <v>0</v>
      </c>
      <c r="R79" t="str">
        <f t="shared" si="6"/>
        <v/>
      </c>
    </row>
    <row r="80" spans="1:18" x14ac:dyDescent="0.3">
      <c r="A80">
        <v>40</v>
      </c>
      <c r="B80">
        <v>5</v>
      </c>
      <c r="C80" s="1">
        <v>80</v>
      </c>
      <c r="D80">
        <v>1.1499999999999999</v>
      </c>
      <c r="E80">
        <v>2</v>
      </c>
      <c r="F80">
        <v>2</v>
      </c>
      <c r="G80">
        <v>0.219</v>
      </c>
      <c r="H80">
        <v>0</v>
      </c>
      <c r="I80">
        <v>1</v>
      </c>
      <c r="J80" s="1">
        <v>1</v>
      </c>
      <c r="K80" s="30">
        <v>2</v>
      </c>
      <c r="L80" s="30">
        <v>1</v>
      </c>
      <c r="M80" s="29">
        <v>3600</v>
      </c>
      <c r="P80">
        <f t="shared" si="4"/>
        <v>0</v>
      </c>
      <c r="Q80" s="7">
        <f t="shared" si="5"/>
        <v>50</v>
      </c>
      <c r="R80" t="str">
        <f t="shared" si="6"/>
        <v/>
      </c>
    </row>
    <row r="81" spans="1:18" x14ac:dyDescent="0.3">
      <c r="A81">
        <v>40</v>
      </c>
      <c r="B81">
        <v>5</v>
      </c>
      <c r="C81" s="1">
        <v>90</v>
      </c>
      <c r="D81">
        <v>1.1499999999999999</v>
      </c>
      <c r="E81">
        <v>2</v>
      </c>
      <c r="F81">
        <v>2</v>
      </c>
      <c r="G81">
        <v>2.0680000000000001</v>
      </c>
      <c r="H81">
        <v>0</v>
      </c>
      <c r="I81">
        <v>3</v>
      </c>
      <c r="J81" s="1">
        <v>4</v>
      </c>
      <c r="K81" s="30">
        <v>2</v>
      </c>
      <c r="L81" s="30">
        <v>1</v>
      </c>
      <c r="M81" s="29">
        <v>3600</v>
      </c>
      <c r="P81">
        <f t="shared" si="4"/>
        <v>0</v>
      </c>
      <c r="Q81" s="7">
        <f t="shared" si="5"/>
        <v>50</v>
      </c>
      <c r="R81" t="str">
        <f t="shared" si="6"/>
        <v/>
      </c>
    </row>
    <row r="82" spans="1:18" s="2" customFormat="1" x14ac:dyDescent="0.3">
      <c r="A82" s="2">
        <v>40</v>
      </c>
      <c r="B82" s="2">
        <v>5</v>
      </c>
      <c r="C82" s="3">
        <v>100</v>
      </c>
      <c r="D82" s="2">
        <v>1.1499999999999999</v>
      </c>
      <c r="E82" s="2">
        <v>1</v>
      </c>
      <c r="F82" s="2">
        <v>1</v>
      </c>
      <c r="G82" s="2">
        <v>0.23699999999999999</v>
      </c>
      <c r="H82" s="2">
        <v>0</v>
      </c>
      <c r="I82" s="2">
        <v>0</v>
      </c>
      <c r="J82" s="3">
        <v>1</v>
      </c>
      <c r="K82" s="31">
        <v>1</v>
      </c>
      <c r="L82" s="31">
        <v>1</v>
      </c>
      <c r="M82" s="32">
        <v>214.41</v>
      </c>
      <c r="N82" s="5">
        <f t="shared" ref="N82:N132" si="7">AVERAGE(G73:G82)</f>
        <v>0.63249999999999995</v>
      </c>
      <c r="O82" s="19">
        <f>AVERAGE(M73:M82)</f>
        <v>2081.6359999999995</v>
      </c>
      <c r="P82" s="2">
        <f t="shared" si="4"/>
        <v>0</v>
      </c>
      <c r="Q82" s="8">
        <f t="shared" si="5"/>
        <v>0</v>
      </c>
      <c r="R82" s="2" t="str">
        <f t="shared" si="6"/>
        <v/>
      </c>
    </row>
    <row r="83" spans="1:18" x14ac:dyDescent="0.3">
      <c r="A83">
        <v>50</v>
      </c>
      <c r="B83">
        <v>2</v>
      </c>
      <c r="C83" s="1">
        <v>10</v>
      </c>
      <c r="D83">
        <v>1.1499999999999999</v>
      </c>
      <c r="E83">
        <v>5</v>
      </c>
      <c r="F83">
        <v>5</v>
      </c>
      <c r="G83">
        <v>1.163</v>
      </c>
      <c r="H83">
        <v>0</v>
      </c>
      <c r="I83">
        <v>0</v>
      </c>
      <c r="J83" s="1">
        <v>1</v>
      </c>
      <c r="K83">
        <v>5</v>
      </c>
      <c r="L83">
        <v>2</v>
      </c>
      <c r="M83" s="1">
        <v>3600</v>
      </c>
      <c r="P83">
        <f t="shared" si="4"/>
        <v>0</v>
      </c>
      <c r="Q83" s="7">
        <f t="shared" si="5"/>
        <v>60</v>
      </c>
      <c r="R83" t="str">
        <f t="shared" si="6"/>
        <v/>
      </c>
    </row>
    <row r="84" spans="1:18" x14ac:dyDescent="0.3">
      <c r="A84">
        <v>50</v>
      </c>
      <c r="B84">
        <v>2</v>
      </c>
      <c r="C84" s="1">
        <v>20</v>
      </c>
      <c r="D84">
        <v>1.1499999999999999</v>
      </c>
      <c r="E84">
        <v>5</v>
      </c>
      <c r="F84">
        <v>5</v>
      </c>
      <c r="G84">
        <v>1.0609999999999999</v>
      </c>
      <c r="H84">
        <v>0</v>
      </c>
      <c r="I84">
        <v>0</v>
      </c>
      <c r="J84" s="1">
        <v>1</v>
      </c>
      <c r="K84">
        <v>6</v>
      </c>
      <c r="L84">
        <v>2</v>
      </c>
      <c r="M84" s="1">
        <v>3600</v>
      </c>
      <c r="P84">
        <f t="shared" si="4"/>
        <v>0</v>
      </c>
      <c r="Q84" s="7">
        <f t="shared" si="5"/>
        <v>66.666666666666657</v>
      </c>
      <c r="R84" t="str">
        <f t="shared" si="6"/>
        <v/>
      </c>
    </row>
    <row r="85" spans="1:18" x14ac:dyDescent="0.3">
      <c r="A85">
        <v>50</v>
      </c>
      <c r="B85">
        <v>2</v>
      </c>
      <c r="C85" s="1">
        <v>30</v>
      </c>
      <c r="D85">
        <v>1.1499999999999999</v>
      </c>
      <c r="E85">
        <v>5</v>
      </c>
      <c r="F85">
        <v>5</v>
      </c>
      <c r="G85">
        <v>1.4430000000000001</v>
      </c>
      <c r="H85">
        <v>0</v>
      </c>
      <c r="I85">
        <v>0</v>
      </c>
      <c r="J85" s="1">
        <v>1</v>
      </c>
      <c r="K85">
        <v>5</v>
      </c>
      <c r="L85">
        <v>2</v>
      </c>
      <c r="M85" s="1">
        <v>3600</v>
      </c>
      <c r="P85">
        <f t="shared" si="4"/>
        <v>0</v>
      </c>
      <c r="Q85" s="7">
        <f t="shared" si="5"/>
        <v>60</v>
      </c>
      <c r="R85" t="str">
        <f t="shared" si="6"/>
        <v/>
      </c>
    </row>
    <row r="86" spans="1:18" x14ac:dyDescent="0.3">
      <c r="A86">
        <v>50</v>
      </c>
      <c r="B86">
        <v>2</v>
      </c>
      <c r="C86" s="1">
        <v>40</v>
      </c>
      <c r="D86">
        <v>1.1499999999999999</v>
      </c>
      <c r="E86">
        <v>5</v>
      </c>
      <c r="F86">
        <v>5</v>
      </c>
      <c r="G86">
        <v>1.218</v>
      </c>
      <c r="H86">
        <v>0</v>
      </c>
      <c r="I86">
        <v>0</v>
      </c>
      <c r="J86" s="1">
        <v>1</v>
      </c>
      <c r="K86">
        <v>5</v>
      </c>
      <c r="L86">
        <v>2</v>
      </c>
      <c r="M86" s="1">
        <v>3600</v>
      </c>
      <c r="P86">
        <f t="shared" si="4"/>
        <v>0</v>
      </c>
      <c r="Q86" s="7">
        <f t="shared" si="5"/>
        <v>60</v>
      </c>
      <c r="R86" t="str">
        <f t="shared" si="6"/>
        <v/>
      </c>
    </row>
    <row r="87" spans="1:18" x14ac:dyDescent="0.3">
      <c r="A87">
        <v>50</v>
      </c>
      <c r="B87">
        <v>2</v>
      </c>
      <c r="C87" s="1">
        <v>50</v>
      </c>
      <c r="D87">
        <v>1.1499999999999999</v>
      </c>
      <c r="E87">
        <v>5</v>
      </c>
      <c r="F87">
        <v>5</v>
      </c>
      <c r="G87">
        <v>1.0740000000000001</v>
      </c>
      <c r="H87">
        <v>0</v>
      </c>
      <c r="I87">
        <v>0</v>
      </c>
      <c r="J87" s="1">
        <v>1</v>
      </c>
      <c r="K87">
        <v>5</v>
      </c>
      <c r="L87">
        <v>2</v>
      </c>
      <c r="M87" s="1">
        <v>3600</v>
      </c>
      <c r="P87">
        <f t="shared" si="4"/>
        <v>0</v>
      </c>
      <c r="Q87" s="7">
        <f t="shared" si="5"/>
        <v>60</v>
      </c>
      <c r="R87" t="str">
        <f t="shared" si="6"/>
        <v/>
      </c>
    </row>
    <row r="88" spans="1:18" x14ac:dyDescent="0.3">
      <c r="A88">
        <v>50</v>
      </c>
      <c r="B88">
        <v>2</v>
      </c>
      <c r="C88" s="1">
        <v>60</v>
      </c>
      <c r="D88">
        <v>1.1499999999999999</v>
      </c>
      <c r="E88">
        <v>5</v>
      </c>
      <c r="F88">
        <v>5</v>
      </c>
      <c r="G88">
        <v>1.2889999999999999</v>
      </c>
      <c r="H88">
        <v>0</v>
      </c>
      <c r="I88">
        <v>0</v>
      </c>
      <c r="J88" s="1">
        <v>1</v>
      </c>
      <c r="K88">
        <v>5</v>
      </c>
      <c r="L88">
        <v>2</v>
      </c>
      <c r="M88" s="1">
        <v>3600</v>
      </c>
      <c r="P88">
        <f t="shared" si="4"/>
        <v>0</v>
      </c>
      <c r="Q88" s="7">
        <f t="shared" si="5"/>
        <v>60</v>
      </c>
      <c r="R88" t="str">
        <f t="shared" si="6"/>
        <v/>
      </c>
    </row>
    <row r="89" spans="1:18" x14ac:dyDescent="0.3">
      <c r="A89">
        <v>50</v>
      </c>
      <c r="B89">
        <v>2</v>
      </c>
      <c r="C89" s="1">
        <v>70</v>
      </c>
      <c r="D89">
        <v>1.1499999999999999</v>
      </c>
      <c r="E89">
        <v>5</v>
      </c>
      <c r="F89">
        <v>5</v>
      </c>
      <c r="G89">
        <v>1.2809999999999999</v>
      </c>
      <c r="H89">
        <v>0</v>
      </c>
      <c r="I89">
        <v>0</v>
      </c>
      <c r="J89" s="1">
        <v>1</v>
      </c>
      <c r="K89">
        <v>5</v>
      </c>
      <c r="L89">
        <v>2</v>
      </c>
      <c r="M89" s="1">
        <v>3600</v>
      </c>
      <c r="P89">
        <f t="shared" si="4"/>
        <v>0</v>
      </c>
      <c r="Q89" s="7">
        <f t="shared" si="5"/>
        <v>60</v>
      </c>
      <c r="R89" t="str">
        <f t="shared" si="6"/>
        <v/>
      </c>
    </row>
    <row r="90" spans="1:18" x14ac:dyDescent="0.3">
      <c r="A90">
        <v>50</v>
      </c>
      <c r="B90">
        <v>2</v>
      </c>
      <c r="C90" s="1">
        <v>80</v>
      </c>
      <c r="D90">
        <v>1.1499999999999999</v>
      </c>
      <c r="E90">
        <v>5</v>
      </c>
      <c r="F90">
        <v>5</v>
      </c>
      <c r="G90">
        <v>1.1990000000000001</v>
      </c>
      <c r="H90">
        <v>0</v>
      </c>
      <c r="I90">
        <v>0</v>
      </c>
      <c r="J90" s="1">
        <v>1</v>
      </c>
      <c r="K90">
        <v>5</v>
      </c>
      <c r="L90">
        <v>2</v>
      </c>
      <c r="M90" s="1">
        <v>3600</v>
      </c>
      <c r="P90">
        <f t="shared" si="4"/>
        <v>0</v>
      </c>
      <c r="Q90" s="7">
        <f t="shared" si="5"/>
        <v>60</v>
      </c>
      <c r="R90" t="str">
        <f t="shared" si="6"/>
        <v/>
      </c>
    </row>
    <row r="91" spans="1:18" x14ac:dyDescent="0.3">
      <c r="A91">
        <v>50</v>
      </c>
      <c r="B91">
        <v>2</v>
      </c>
      <c r="C91" s="1">
        <v>90</v>
      </c>
      <c r="D91">
        <v>1.1499999999999999</v>
      </c>
      <c r="E91">
        <v>5</v>
      </c>
      <c r="F91">
        <v>5</v>
      </c>
      <c r="G91">
        <v>1.0429999999999999</v>
      </c>
      <c r="H91">
        <v>0</v>
      </c>
      <c r="I91">
        <v>0</v>
      </c>
      <c r="J91" s="1">
        <v>1</v>
      </c>
      <c r="K91">
        <v>6</v>
      </c>
      <c r="L91">
        <v>2</v>
      </c>
      <c r="M91" s="1">
        <v>3600</v>
      </c>
      <c r="P91">
        <f t="shared" si="4"/>
        <v>0</v>
      </c>
      <c r="Q91" s="7">
        <f t="shared" si="5"/>
        <v>66.666666666666657</v>
      </c>
      <c r="R91" t="str">
        <f t="shared" si="6"/>
        <v/>
      </c>
    </row>
    <row r="92" spans="1:18" s="2" customFormat="1" x14ac:dyDescent="0.3">
      <c r="A92" s="2">
        <v>50</v>
      </c>
      <c r="B92" s="2">
        <v>2</v>
      </c>
      <c r="C92" s="3">
        <v>100</v>
      </c>
      <c r="D92" s="2">
        <v>1.1499999999999999</v>
      </c>
      <c r="E92" s="2">
        <v>5</v>
      </c>
      <c r="F92" s="2">
        <v>5</v>
      </c>
      <c r="G92" s="2">
        <v>1.1879999999999999</v>
      </c>
      <c r="H92" s="2">
        <v>0</v>
      </c>
      <c r="I92" s="2">
        <v>0</v>
      </c>
      <c r="J92" s="3">
        <v>1</v>
      </c>
      <c r="K92" s="2">
        <v>5</v>
      </c>
      <c r="L92" s="2">
        <v>2</v>
      </c>
      <c r="M92" s="3">
        <v>3600</v>
      </c>
      <c r="N92" s="5">
        <f t="shared" si="7"/>
        <v>1.1959</v>
      </c>
      <c r="O92" s="19">
        <f>AVERAGE(M83:M92)</f>
        <v>3600</v>
      </c>
      <c r="P92" s="2">
        <f t="shared" si="4"/>
        <v>0</v>
      </c>
      <c r="Q92" s="8">
        <f t="shared" si="5"/>
        <v>60</v>
      </c>
      <c r="R92" s="2" t="str">
        <f t="shared" si="6"/>
        <v/>
      </c>
    </row>
    <row r="93" spans="1:18" x14ac:dyDescent="0.3">
      <c r="A93">
        <v>50</v>
      </c>
      <c r="B93">
        <v>3</v>
      </c>
      <c r="C93" s="1">
        <v>10</v>
      </c>
      <c r="D93">
        <v>1.1499999999999999</v>
      </c>
      <c r="E93">
        <v>4</v>
      </c>
      <c r="F93">
        <v>4</v>
      </c>
      <c r="G93">
        <v>0.81699999999999995</v>
      </c>
      <c r="H93">
        <v>0</v>
      </c>
      <c r="I93">
        <v>0</v>
      </c>
      <c r="J93" s="1">
        <v>1</v>
      </c>
      <c r="K93">
        <v>5</v>
      </c>
      <c r="L93">
        <v>2</v>
      </c>
      <c r="M93" s="1">
        <v>3600</v>
      </c>
      <c r="P93">
        <f t="shared" si="4"/>
        <v>0</v>
      </c>
      <c r="Q93" s="7">
        <f t="shared" si="5"/>
        <v>60</v>
      </c>
      <c r="R93" t="str">
        <f t="shared" si="6"/>
        <v/>
      </c>
    </row>
    <row r="94" spans="1:18" x14ac:dyDescent="0.3">
      <c r="A94">
        <v>50</v>
      </c>
      <c r="B94">
        <v>3</v>
      </c>
      <c r="C94" s="1">
        <v>20</v>
      </c>
      <c r="D94">
        <v>1.1499999999999999</v>
      </c>
      <c r="E94">
        <v>4</v>
      </c>
      <c r="F94">
        <v>4</v>
      </c>
      <c r="G94">
        <v>0.93300000000000005</v>
      </c>
      <c r="H94">
        <v>0</v>
      </c>
      <c r="I94">
        <v>0</v>
      </c>
      <c r="J94" s="1">
        <v>1</v>
      </c>
      <c r="K94">
        <v>4</v>
      </c>
      <c r="L94">
        <v>1</v>
      </c>
      <c r="M94" s="1">
        <v>3600</v>
      </c>
      <c r="P94">
        <f t="shared" si="4"/>
        <v>0</v>
      </c>
      <c r="Q94" s="7">
        <f t="shared" si="5"/>
        <v>75</v>
      </c>
      <c r="R94" t="str">
        <f t="shared" si="6"/>
        <v/>
      </c>
    </row>
    <row r="95" spans="1:18" x14ac:dyDescent="0.3">
      <c r="A95">
        <v>50</v>
      </c>
      <c r="B95">
        <v>3</v>
      </c>
      <c r="C95" s="1">
        <v>30</v>
      </c>
      <c r="D95">
        <v>1.1499999999999999</v>
      </c>
      <c r="E95">
        <v>4</v>
      </c>
      <c r="F95">
        <v>4</v>
      </c>
      <c r="G95">
        <v>1.22</v>
      </c>
      <c r="H95">
        <v>0</v>
      </c>
      <c r="I95">
        <v>0</v>
      </c>
      <c r="J95" s="1">
        <v>1</v>
      </c>
      <c r="K95">
        <v>4</v>
      </c>
      <c r="L95">
        <v>1</v>
      </c>
      <c r="M95" s="1">
        <v>3600</v>
      </c>
      <c r="P95">
        <f t="shared" si="4"/>
        <v>0</v>
      </c>
      <c r="Q95" s="7">
        <f t="shared" si="5"/>
        <v>75</v>
      </c>
      <c r="R95" t="str">
        <f t="shared" si="6"/>
        <v/>
      </c>
    </row>
    <row r="96" spans="1:18" x14ac:dyDescent="0.3">
      <c r="A96">
        <v>50</v>
      </c>
      <c r="B96">
        <v>3</v>
      </c>
      <c r="C96" s="1">
        <v>40</v>
      </c>
      <c r="D96">
        <v>1.1499999999999999</v>
      </c>
      <c r="E96">
        <v>4</v>
      </c>
      <c r="F96">
        <v>4</v>
      </c>
      <c r="G96">
        <v>0.83</v>
      </c>
      <c r="H96">
        <v>0</v>
      </c>
      <c r="I96">
        <v>0</v>
      </c>
      <c r="J96" s="1">
        <v>1</v>
      </c>
      <c r="K96">
        <v>4</v>
      </c>
      <c r="L96">
        <v>1</v>
      </c>
      <c r="M96" s="1">
        <v>3600</v>
      </c>
      <c r="P96">
        <f t="shared" si="4"/>
        <v>0</v>
      </c>
      <c r="Q96" s="7">
        <f t="shared" si="5"/>
        <v>75</v>
      </c>
      <c r="R96" t="str">
        <f t="shared" si="6"/>
        <v/>
      </c>
    </row>
    <row r="97" spans="1:18" x14ac:dyDescent="0.3">
      <c r="A97">
        <v>50</v>
      </c>
      <c r="B97">
        <v>3</v>
      </c>
      <c r="C97" s="1">
        <v>50</v>
      </c>
      <c r="D97">
        <v>1.1499999999999999</v>
      </c>
      <c r="E97">
        <v>4</v>
      </c>
      <c r="F97">
        <v>4</v>
      </c>
      <c r="G97">
        <v>0.76800000000000002</v>
      </c>
      <c r="H97">
        <v>0</v>
      </c>
      <c r="I97">
        <v>0</v>
      </c>
      <c r="J97" s="1">
        <v>1</v>
      </c>
      <c r="K97">
        <v>5</v>
      </c>
      <c r="L97">
        <v>1</v>
      </c>
      <c r="M97" s="1">
        <v>3600</v>
      </c>
      <c r="P97">
        <f t="shared" si="4"/>
        <v>0</v>
      </c>
      <c r="Q97" s="7">
        <f t="shared" si="5"/>
        <v>80</v>
      </c>
      <c r="R97" t="str">
        <f t="shared" si="6"/>
        <v/>
      </c>
    </row>
    <row r="98" spans="1:18" x14ac:dyDescent="0.3">
      <c r="A98">
        <v>50</v>
      </c>
      <c r="B98">
        <v>3</v>
      </c>
      <c r="C98" s="1">
        <v>60</v>
      </c>
      <c r="D98">
        <v>1.1499999999999999</v>
      </c>
      <c r="E98">
        <v>4</v>
      </c>
      <c r="F98">
        <v>4</v>
      </c>
      <c r="G98">
        <v>1.0109999999999999</v>
      </c>
      <c r="H98">
        <v>0</v>
      </c>
      <c r="I98">
        <v>0</v>
      </c>
      <c r="J98" s="1">
        <v>1</v>
      </c>
      <c r="K98">
        <v>4</v>
      </c>
      <c r="L98">
        <v>2</v>
      </c>
      <c r="M98" s="1">
        <v>3600</v>
      </c>
      <c r="P98">
        <f t="shared" si="4"/>
        <v>0</v>
      </c>
      <c r="Q98" s="7">
        <f t="shared" si="5"/>
        <v>50</v>
      </c>
      <c r="R98" t="str">
        <f t="shared" si="6"/>
        <v/>
      </c>
    </row>
    <row r="99" spans="1:18" x14ac:dyDescent="0.3">
      <c r="A99">
        <v>50</v>
      </c>
      <c r="B99">
        <v>3</v>
      </c>
      <c r="C99" s="1">
        <v>70</v>
      </c>
      <c r="D99">
        <v>1.1499999999999999</v>
      </c>
      <c r="E99">
        <v>4</v>
      </c>
      <c r="F99">
        <v>4</v>
      </c>
      <c r="G99">
        <v>1.07</v>
      </c>
      <c r="H99">
        <v>0</v>
      </c>
      <c r="I99">
        <v>0</v>
      </c>
      <c r="J99" s="1">
        <v>1</v>
      </c>
      <c r="K99">
        <v>4</v>
      </c>
      <c r="L99">
        <v>2</v>
      </c>
      <c r="M99" s="1">
        <v>3600</v>
      </c>
      <c r="P99">
        <f t="shared" si="4"/>
        <v>0</v>
      </c>
      <c r="Q99" s="7">
        <f t="shared" si="5"/>
        <v>50</v>
      </c>
      <c r="R99" t="str">
        <f t="shared" si="6"/>
        <v/>
      </c>
    </row>
    <row r="100" spans="1:18" x14ac:dyDescent="0.3">
      <c r="A100">
        <v>50</v>
      </c>
      <c r="B100">
        <v>3</v>
      </c>
      <c r="C100" s="1">
        <v>80</v>
      </c>
      <c r="D100">
        <v>1.1499999999999999</v>
      </c>
      <c r="E100">
        <v>4</v>
      </c>
      <c r="F100">
        <v>4</v>
      </c>
      <c r="G100">
        <v>1.0109999999999999</v>
      </c>
      <c r="H100">
        <v>0</v>
      </c>
      <c r="I100">
        <v>0</v>
      </c>
      <c r="J100" s="1">
        <v>1</v>
      </c>
      <c r="K100">
        <v>4</v>
      </c>
      <c r="L100">
        <v>1</v>
      </c>
      <c r="M100" s="1">
        <v>3600</v>
      </c>
      <c r="P100">
        <f t="shared" si="4"/>
        <v>0</v>
      </c>
      <c r="Q100" s="7">
        <f t="shared" si="5"/>
        <v>75</v>
      </c>
      <c r="R100" t="str">
        <f t="shared" si="6"/>
        <v/>
      </c>
    </row>
    <row r="101" spans="1:18" x14ac:dyDescent="0.3">
      <c r="A101">
        <v>50</v>
      </c>
      <c r="B101">
        <v>3</v>
      </c>
      <c r="C101" s="1">
        <v>90</v>
      </c>
      <c r="D101">
        <v>1.1499999999999999</v>
      </c>
      <c r="E101">
        <v>4</v>
      </c>
      <c r="F101">
        <v>4</v>
      </c>
      <c r="G101">
        <v>0.84899999999999998</v>
      </c>
      <c r="H101">
        <v>0</v>
      </c>
      <c r="I101">
        <v>0</v>
      </c>
      <c r="J101" s="1">
        <v>1</v>
      </c>
      <c r="K101">
        <v>6</v>
      </c>
      <c r="L101">
        <v>1</v>
      </c>
      <c r="M101" s="1">
        <v>3600</v>
      </c>
      <c r="P101">
        <f t="shared" si="4"/>
        <v>0</v>
      </c>
      <c r="Q101" s="7">
        <f t="shared" si="5"/>
        <v>83.333333333333343</v>
      </c>
      <c r="R101" t="str">
        <f t="shared" si="6"/>
        <v/>
      </c>
    </row>
    <row r="102" spans="1:18" s="2" customFormat="1" x14ac:dyDescent="0.3">
      <c r="A102" s="2">
        <v>50</v>
      </c>
      <c r="B102" s="2">
        <v>3</v>
      </c>
      <c r="C102" s="3">
        <v>100</v>
      </c>
      <c r="D102" s="2">
        <v>1.1499999999999999</v>
      </c>
      <c r="E102" s="2">
        <v>4</v>
      </c>
      <c r="F102" s="2">
        <v>4</v>
      </c>
      <c r="G102" s="2">
        <v>0.79200000000000004</v>
      </c>
      <c r="H102" s="2">
        <v>0</v>
      </c>
      <c r="I102" s="2">
        <v>0</v>
      </c>
      <c r="J102" s="3">
        <v>1</v>
      </c>
      <c r="K102" s="2">
        <v>6</v>
      </c>
      <c r="L102" s="2">
        <v>2</v>
      </c>
      <c r="M102" s="3">
        <v>3600</v>
      </c>
      <c r="N102" s="5">
        <f t="shared" si="7"/>
        <v>0.93010000000000004</v>
      </c>
      <c r="O102" s="19">
        <f>AVERAGE(M93:M102)</f>
        <v>3600</v>
      </c>
      <c r="P102" s="2">
        <f t="shared" si="4"/>
        <v>0</v>
      </c>
      <c r="Q102" s="8">
        <f t="shared" si="5"/>
        <v>66.666666666666657</v>
      </c>
      <c r="R102" s="2" t="str">
        <f t="shared" si="6"/>
        <v/>
      </c>
    </row>
    <row r="103" spans="1:18" x14ac:dyDescent="0.3">
      <c r="A103">
        <v>50</v>
      </c>
      <c r="B103">
        <v>4</v>
      </c>
      <c r="C103" s="1">
        <v>10</v>
      </c>
      <c r="D103">
        <v>1.1499999999999999</v>
      </c>
      <c r="E103">
        <v>3</v>
      </c>
      <c r="F103">
        <v>3</v>
      </c>
      <c r="G103">
        <v>0.78700000000000003</v>
      </c>
      <c r="H103">
        <v>0</v>
      </c>
      <c r="I103">
        <v>0</v>
      </c>
      <c r="J103" s="1">
        <v>1</v>
      </c>
      <c r="K103">
        <v>3</v>
      </c>
      <c r="L103">
        <v>1</v>
      </c>
      <c r="M103" s="1">
        <v>3600</v>
      </c>
      <c r="P103">
        <f t="shared" si="4"/>
        <v>0</v>
      </c>
      <c r="Q103" s="7">
        <f t="shared" si="5"/>
        <v>66.666666666666657</v>
      </c>
      <c r="R103" t="str">
        <f t="shared" si="6"/>
        <v/>
      </c>
    </row>
    <row r="104" spans="1:18" x14ac:dyDescent="0.3">
      <c r="A104">
        <v>50</v>
      </c>
      <c r="B104">
        <v>4</v>
      </c>
      <c r="C104" s="1">
        <v>20</v>
      </c>
      <c r="D104">
        <v>1.1499999999999999</v>
      </c>
      <c r="E104">
        <v>3</v>
      </c>
      <c r="F104">
        <v>3</v>
      </c>
      <c r="G104">
        <v>0.70299999999999996</v>
      </c>
      <c r="H104">
        <v>0</v>
      </c>
      <c r="I104">
        <v>0</v>
      </c>
      <c r="J104" s="1">
        <v>1</v>
      </c>
      <c r="K104">
        <v>46</v>
      </c>
      <c r="L104">
        <v>1</v>
      </c>
      <c r="M104" s="1">
        <v>3600</v>
      </c>
      <c r="P104">
        <f t="shared" si="4"/>
        <v>0</v>
      </c>
      <c r="Q104" s="7">
        <f t="shared" si="5"/>
        <v>97.826086956521735</v>
      </c>
      <c r="R104" t="str">
        <f t="shared" si="6"/>
        <v/>
      </c>
    </row>
    <row r="105" spans="1:18" x14ac:dyDescent="0.3">
      <c r="A105">
        <v>50</v>
      </c>
      <c r="B105">
        <v>4</v>
      </c>
      <c r="C105" s="1">
        <v>30</v>
      </c>
      <c r="D105">
        <v>1.1499999999999999</v>
      </c>
      <c r="E105">
        <v>3</v>
      </c>
      <c r="F105">
        <v>3</v>
      </c>
      <c r="G105">
        <v>0.84899999999999998</v>
      </c>
      <c r="H105">
        <v>0</v>
      </c>
      <c r="I105">
        <v>0</v>
      </c>
      <c r="J105" s="1">
        <v>1</v>
      </c>
      <c r="K105">
        <v>3</v>
      </c>
      <c r="L105">
        <v>1</v>
      </c>
      <c r="M105" s="1">
        <v>3600</v>
      </c>
      <c r="P105">
        <f t="shared" si="4"/>
        <v>0</v>
      </c>
      <c r="Q105" s="7">
        <f t="shared" si="5"/>
        <v>66.666666666666657</v>
      </c>
      <c r="R105" t="str">
        <f t="shared" si="6"/>
        <v/>
      </c>
    </row>
    <row r="106" spans="1:18" x14ac:dyDescent="0.3">
      <c r="A106">
        <v>50</v>
      </c>
      <c r="B106">
        <v>4</v>
      </c>
      <c r="C106" s="1">
        <v>40</v>
      </c>
      <c r="D106">
        <v>1.1499999999999999</v>
      </c>
      <c r="E106">
        <v>3</v>
      </c>
      <c r="F106">
        <v>3</v>
      </c>
      <c r="G106">
        <v>0.75900000000000001</v>
      </c>
      <c r="H106">
        <v>0</v>
      </c>
      <c r="I106">
        <v>0</v>
      </c>
      <c r="J106" s="1">
        <v>1</v>
      </c>
      <c r="K106">
        <v>3</v>
      </c>
      <c r="L106">
        <v>1</v>
      </c>
      <c r="M106" s="1">
        <v>3600</v>
      </c>
      <c r="P106">
        <f t="shared" si="4"/>
        <v>0</v>
      </c>
      <c r="Q106" s="7">
        <f t="shared" si="5"/>
        <v>66.666666666666657</v>
      </c>
      <c r="R106" t="str">
        <f t="shared" si="6"/>
        <v/>
      </c>
    </row>
    <row r="107" spans="1:18" x14ac:dyDescent="0.3">
      <c r="A107">
        <v>50</v>
      </c>
      <c r="B107">
        <v>4</v>
      </c>
      <c r="C107" s="1">
        <v>50</v>
      </c>
      <c r="D107">
        <v>1.1499999999999999</v>
      </c>
      <c r="E107">
        <v>3</v>
      </c>
      <c r="F107">
        <v>3</v>
      </c>
      <c r="G107">
        <v>0.79500000000000004</v>
      </c>
      <c r="H107">
        <v>0</v>
      </c>
      <c r="I107">
        <v>0</v>
      </c>
      <c r="J107" s="1">
        <v>1</v>
      </c>
      <c r="K107">
        <v>3</v>
      </c>
      <c r="L107">
        <v>1</v>
      </c>
      <c r="M107" s="1">
        <v>3600</v>
      </c>
      <c r="P107">
        <f t="shared" si="4"/>
        <v>0</v>
      </c>
      <c r="Q107" s="7">
        <f t="shared" si="5"/>
        <v>66.666666666666657</v>
      </c>
      <c r="R107" t="str">
        <f t="shared" si="6"/>
        <v/>
      </c>
    </row>
    <row r="108" spans="1:18" x14ac:dyDescent="0.3">
      <c r="A108">
        <v>50</v>
      </c>
      <c r="B108">
        <v>4</v>
      </c>
      <c r="C108" s="1">
        <v>60</v>
      </c>
      <c r="D108">
        <v>1.1499999999999999</v>
      </c>
      <c r="E108">
        <v>3</v>
      </c>
      <c r="F108">
        <v>3</v>
      </c>
      <c r="G108">
        <v>0.71599999999999997</v>
      </c>
      <c r="H108">
        <v>0</v>
      </c>
      <c r="I108">
        <v>0</v>
      </c>
      <c r="J108" s="1">
        <v>1</v>
      </c>
      <c r="K108">
        <v>3</v>
      </c>
      <c r="L108">
        <v>1</v>
      </c>
      <c r="M108" s="1">
        <v>3600</v>
      </c>
      <c r="P108">
        <f t="shared" si="4"/>
        <v>0</v>
      </c>
      <c r="Q108" s="7">
        <f t="shared" si="5"/>
        <v>66.666666666666657</v>
      </c>
      <c r="R108" t="str">
        <f t="shared" si="6"/>
        <v/>
      </c>
    </row>
    <row r="109" spans="1:18" x14ac:dyDescent="0.3">
      <c r="A109">
        <v>50</v>
      </c>
      <c r="B109">
        <v>4</v>
      </c>
      <c r="C109" s="1">
        <v>70</v>
      </c>
      <c r="D109">
        <v>1.1499999999999999</v>
      </c>
      <c r="E109">
        <v>3</v>
      </c>
      <c r="F109">
        <v>3</v>
      </c>
      <c r="G109">
        <v>0.84899999999999998</v>
      </c>
      <c r="H109">
        <v>0</v>
      </c>
      <c r="I109">
        <v>0</v>
      </c>
      <c r="J109" s="1">
        <v>1</v>
      </c>
      <c r="K109">
        <v>3</v>
      </c>
      <c r="L109">
        <v>1</v>
      </c>
      <c r="M109" s="1">
        <v>3600</v>
      </c>
      <c r="P109">
        <f t="shared" si="4"/>
        <v>0</v>
      </c>
      <c r="Q109" s="7">
        <f t="shared" si="5"/>
        <v>66.666666666666657</v>
      </c>
      <c r="R109" t="str">
        <f t="shared" si="6"/>
        <v/>
      </c>
    </row>
    <row r="110" spans="1:18" x14ac:dyDescent="0.3">
      <c r="A110">
        <v>50</v>
      </c>
      <c r="B110">
        <v>4</v>
      </c>
      <c r="C110" s="1">
        <v>80</v>
      </c>
      <c r="D110">
        <v>1.1499999999999999</v>
      </c>
      <c r="E110">
        <v>3</v>
      </c>
      <c r="F110">
        <v>3</v>
      </c>
      <c r="G110">
        <v>0.87</v>
      </c>
      <c r="H110">
        <v>0</v>
      </c>
      <c r="I110">
        <v>0</v>
      </c>
      <c r="J110" s="1">
        <v>1</v>
      </c>
      <c r="K110">
        <v>3</v>
      </c>
      <c r="L110">
        <v>1</v>
      </c>
      <c r="M110" s="1">
        <v>3600</v>
      </c>
      <c r="P110">
        <f t="shared" si="4"/>
        <v>0</v>
      </c>
      <c r="Q110" s="7">
        <f t="shared" si="5"/>
        <v>66.666666666666657</v>
      </c>
      <c r="R110" t="str">
        <f t="shared" si="6"/>
        <v/>
      </c>
    </row>
    <row r="111" spans="1:18" x14ac:dyDescent="0.3">
      <c r="A111">
        <v>50</v>
      </c>
      <c r="B111">
        <v>4</v>
      </c>
      <c r="C111" s="1">
        <v>90</v>
      </c>
      <c r="D111">
        <v>1.1499999999999999</v>
      </c>
      <c r="E111">
        <v>3</v>
      </c>
      <c r="F111">
        <v>3</v>
      </c>
      <c r="G111">
        <v>0.77800000000000002</v>
      </c>
      <c r="H111">
        <v>0</v>
      </c>
      <c r="I111">
        <v>0</v>
      </c>
      <c r="J111" s="1">
        <v>1</v>
      </c>
      <c r="K111">
        <v>46</v>
      </c>
      <c r="L111">
        <v>1</v>
      </c>
      <c r="M111" s="1">
        <v>3600</v>
      </c>
      <c r="P111">
        <f t="shared" si="4"/>
        <v>0</v>
      </c>
      <c r="Q111" s="7">
        <f t="shared" si="5"/>
        <v>97.826086956521735</v>
      </c>
      <c r="R111" t="str">
        <f t="shared" si="6"/>
        <v/>
      </c>
    </row>
    <row r="112" spans="1:18" s="2" customFormat="1" x14ac:dyDescent="0.3">
      <c r="A112" s="2">
        <v>50</v>
      </c>
      <c r="B112" s="2">
        <v>4</v>
      </c>
      <c r="C112" s="3">
        <v>100</v>
      </c>
      <c r="D112" s="2">
        <v>1.1499999999999999</v>
      </c>
      <c r="E112" s="2">
        <v>3</v>
      </c>
      <c r="F112" s="2">
        <v>3</v>
      </c>
      <c r="G112" s="2">
        <v>0.71399999999999997</v>
      </c>
      <c r="H112" s="2">
        <v>0</v>
      </c>
      <c r="I112" s="2">
        <v>0</v>
      </c>
      <c r="J112" s="3">
        <v>1</v>
      </c>
      <c r="K112" s="2">
        <v>3</v>
      </c>
      <c r="L112" s="2">
        <v>1</v>
      </c>
      <c r="M112" s="3">
        <v>3600</v>
      </c>
      <c r="N112" s="5">
        <f t="shared" si="7"/>
        <v>0.78200000000000003</v>
      </c>
      <c r="O112" s="19">
        <f>AVERAGE(M103:M112)</f>
        <v>3600</v>
      </c>
      <c r="P112" s="2">
        <f t="shared" si="4"/>
        <v>0</v>
      </c>
      <c r="Q112" s="8">
        <f t="shared" si="5"/>
        <v>66.666666666666657</v>
      </c>
      <c r="R112" s="2" t="str">
        <f t="shared" si="6"/>
        <v/>
      </c>
    </row>
    <row r="113" spans="1:18" x14ac:dyDescent="0.3">
      <c r="A113">
        <v>50</v>
      </c>
      <c r="B113">
        <v>5</v>
      </c>
      <c r="C113" s="1">
        <v>10</v>
      </c>
      <c r="D113">
        <v>1.1499999999999999</v>
      </c>
      <c r="E113">
        <v>2</v>
      </c>
      <c r="F113">
        <v>2</v>
      </c>
      <c r="G113">
        <v>0.49099999999999999</v>
      </c>
      <c r="H113">
        <v>0</v>
      </c>
      <c r="I113">
        <v>0</v>
      </c>
      <c r="J113" s="1">
        <v>1</v>
      </c>
      <c r="K113">
        <v>45</v>
      </c>
      <c r="L113">
        <v>1</v>
      </c>
      <c r="M113" s="1">
        <v>3600</v>
      </c>
      <c r="P113">
        <f t="shared" si="4"/>
        <v>0</v>
      </c>
      <c r="Q113" s="7">
        <f t="shared" si="5"/>
        <v>97.777777777777771</v>
      </c>
      <c r="R113" t="str">
        <f t="shared" si="6"/>
        <v/>
      </c>
    </row>
    <row r="114" spans="1:18" x14ac:dyDescent="0.3">
      <c r="A114">
        <v>50</v>
      </c>
      <c r="B114">
        <v>5</v>
      </c>
      <c r="C114" s="1">
        <v>20</v>
      </c>
      <c r="D114">
        <v>1.1499999999999999</v>
      </c>
      <c r="E114">
        <v>2</v>
      </c>
      <c r="F114">
        <v>2</v>
      </c>
      <c r="G114">
        <v>0.66600000000000004</v>
      </c>
      <c r="H114">
        <v>0</v>
      </c>
      <c r="I114">
        <v>0</v>
      </c>
      <c r="J114" s="1">
        <v>1</v>
      </c>
      <c r="K114">
        <v>45</v>
      </c>
      <c r="L114">
        <v>1</v>
      </c>
      <c r="M114" s="1">
        <v>3600</v>
      </c>
      <c r="P114">
        <f t="shared" si="4"/>
        <v>0</v>
      </c>
      <c r="Q114" s="7">
        <f t="shared" si="5"/>
        <v>97.777777777777771</v>
      </c>
      <c r="R114" t="str">
        <f t="shared" si="6"/>
        <v/>
      </c>
    </row>
    <row r="115" spans="1:18" x14ac:dyDescent="0.3">
      <c r="A115">
        <v>50</v>
      </c>
      <c r="B115">
        <v>5</v>
      </c>
      <c r="C115" s="1">
        <v>30</v>
      </c>
      <c r="D115">
        <v>1.1499999999999999</v>
      </c>
      <c r="E115">
        <v>2</v>
      </c>
      <c r="F115">
        <v>2</v>
      </c>
      <c r="G115">
        <v>0.70199999999999996</v>
      </c>
      <c r="H115">
        <v>0</v>
      </c>
      <c r="I115">
        <v>0</v>
      </c>
      <c r="J115" s="1">
        <v>1</v>
      </c>
      <c r="K115">
        <v>2</v>
      </c>
      <c r="L115">
        <v>1</v>
      </c>
      <c r="M115" s="1">
        <v>3600</v>
      </c>
      <c r="P115">
        <f t="shared" si="4"/>
        <v>0</v>
      </c>
      <c r="Q115" s="7">
        <f t="shared" si="5"/>
        <v>50</v>
      </c>
      <c r="R115" t="str">
        <f t="shared" si="6"/>
        <v/>
      </c>
    </row>
    <row r="116" spans="1:18" x14ac:dyDescent="0.3">
      <c r="A116">
        <v>50</v>
      </c>
      <c r="B116">
        <v>5</v>
      </c>
      <c r="C116" s="1">
        <v>40</v>
      </c>
      <c r="D116">
        <v>1.1499999999999999</v>
      </c>
      <c r="E116">
        <v>2</v>
      </c>
      <c r="F116">
        <v>2</v>
      </c>
      <c r="G116">
        <v>0.63100000000000001</v>
      </c>
      <c r="H116">
        <v>0</v>
      </c>
      <c r="I116">
        <v>0</v>
      </c>
      <c r="J116" s="1">
        <v>1</v>
      </c>
      <c r="K116">
        <v>45</v>
      </c>
      <c r="L116">
        <v>1</v>
      </c>
      <c r="M116" s="1">
        <v>3600</v>
      </c>
      <c r="P116">
        <f t="shared" si="4"/>
        <v>0</v>
      </c>
      <c r="Q116" s="7">
        <f t="shared" si="5"/>
        <v>97.777777777777771</v>
      </c>
      <c r="R116" t="str">
        <f t="shared" si="6"/>
        <v/>
      </c>
    </row>
    <row r="117" spans="1:18" x14ac:dyDescent="0.3">
      <c r="A117">
        <v>50</v>
      </c>
      <c r="B117">
        <v>5</v>
      </c>
      <c r="C117" s="1">
        <v>50</v>
      </c>
      <c r="D117">
        <v>1.1499999999999999</v>
      </c>
      <c r="E117">
        <v>2</v>
      </c>
      <c r="F117">
        <v>2</v>
      </c>
      <c r="G117">
        <v>0.53900000000000003</v>
      </c>
      <c r="H117">
        <v>0</v>
      </c>
      <c r="I117">
        <v>0</v>
      </c>
      <c r="J117" s="1">
        <v>1</v>
      </c>
      <c r="K117">
        <v>45</v>
      </c>
      <c r="L117">
        <v>1</v>
      </c>
      <c r="M117" s="1">
        <v>3600</v>
      </c>
      <c r="P117">
        <f t="shared" si="4"/>
        <v>0</v>
      </c>
      <c r="Q117" s="7">
        <f t="shared" si="5"/>
        <v>97.777777777777771</v>
      </c>
      <c r="R117" t="str">
        <f t="shared" si="6"/>
        <v/>
      </c>
    </row>
    <row r="118" spans="1:18" x14ac:dyDescent="0.3">
      <c r="A118">
        <v>50</v>
      </c>
      <c r="B118">
        <v>5</v>
      </c>
      <c r="C118" s="1">
        <v>60</v>
      </c>
      <c r="D118">
        <v>1.1499999999999999</v>
      </c>
      <c r="E118">
        <v>2</v>
      </c>
      <c r="F118">
        <v>2</v>
      </c>
      <c r="G118">
        <v>0.57899999999999996</v>
      </c>
      <c r="H118">
        <v>0</v>
      </c>
      <c r="I118">
        <v>0</v>
      </c>
      <c r="J118" s="1">
        <v>1</v>
      </c>
      <c r="K118">
        <v>2</v>
      </c>
      <c r="L118">
        <v>1</v>
      </c>
      <c r="M118" s="1">
        <v>3600</v>
      </c>
      <c r="P118">
        <f t="shared" si="4"/>
        <v>0</v>
      </c>
      <c r="Q118" s="7">
        <f t="shared" si="5"/>
        <v>50</v>
      </c>
      <c r="R118" t="str">
        <f t="shared" si="6"/>
        <v/>
      </c>
    </row>
    <row r="119" spans="1:18" x14ac:dyDescent="0.3">
      <c r="A119">
        <v>50</v>
      </c>
      <c r="B119">
        <v>5</v>
      </c>
      <c r="C119" s="1">
        <v>70</v>
      </c>
      <c r="D119">
        <v>1.1499999999999999</v>
      </c>
      <c r="E119">
        <v>2</v>
      </c>
      <c r="F119">
        <v>2</v>
      </c>
      <c r="G119">
        <v>0.747</v>
      </c>
      <c r="H119">
        <v>0</v>
      </c>
      <c r="I119">
        <v>0</v>
      </c>
      <c r="J119" s="1">
        <v>1</v>
      </c>
      <c r="K119">
        <v>2</v>
      </c>
      <c r="L119">
        <v>1</v>
      </c>
      <c r="M119" s="1">
        <v>3600</v>
      </c>
      <c r="P119">
        <f t="shared" si="4"/>
        <v>0</v>
      </c>
      <c r="Q119" s="7">
        <f t="shared" si="5"/>
        <v>50</v>
      </c>
      <c r="R119" t="str">
        <f t="shared" si="6"/>
        <v/>
      </c>
    </row>
    <row r="120" spans="1:18" x14ac:dyDescent="0.3">
      <c r="A120">
        <v>50</v>
      </c>
      <c r="B120">
        <v>5</v>
      </c>
      <c r="C120" s="1">
        <v>80</v>
      </c>
      <c r="D120">
        <v>1.1499999999999999</v>
      </c>
      <c r="E120">
        <v>2</v>
      </c>
      <c r="F120">
        <v>2</v>
      </c>
      <c r="G120">
        <v>0.625</v>
      </c>
      <c r="H120">
        <v>0</v>
      </c>
      <c r="I120">
        <v>0</v>
      </c>
      <c r="J120" s="1">
        <v>1</v>
      </c>
      <c r="K120">
        <v>2</v>
      </c>
      <c r="L120">
        <v>1</v>
      </c>
      <c r="M120" s="1">
        <v>3600</v>
      </c>
      <c r="P120">
        <f t="shared" si="4"/>
        <v>0</v>
      </c>
      <c r="Q120" s="7">
        <f t="shared" si="5"/>
        <v>50</v>
      </c>
      <c r="R120" t="str">
        <f t="shared" si="6"/>
        <v/>
      </c>
    </row>
    <row r="121" spans="1:18" x14ac:dyDescent="0.3">
      <c r="A121">
        <v>50</v>
      </c>
      <c r="B121">
        <v>5</v>
      </c>
      <c r="C121" s="1">
        <v>90</v>
      </c>
      <c r="D121">
        <v>1.1499999999999999</v>
      </c>
      <c r="E121">
        <v>3</v>
      </c>
      <c r="F121">
        <v>3</v>
      </c>
      <c r="G121">
        <v>0.53600000000000003</v>
      </c>
      <c r="H121">
        <v>0</v>
      </c>
      <c r="I121">
        <v>1</v>
      </c>
      <c r="J121" s="1">
        <v>1</v>
      </c>
      <c r="K121">
        <v>45</v>
      </c>
      <c r="L121">
        <v>1</v>
      </c>
      <c r="M121" s="1">
        <v>3600</v>
      </c>
      <c r="P121">
        <f t="shared" si="4"/>
        <v>0</v>
      </c>
      <c r="Q121" s="7">
        <f t="shared" si="5"/>
        <v>97.777777777777771</v>
      </c>
      <c r="R121" t="str">
        <f t="shared" si="6"/>
        <v/>
      </c>
    </row>
    <row r="122" spans="1:18" s="2" customFormat="1" x14ac:dyDescent="0.3">
      <c r="A122" s="2">
        <v>50</v>
      </c>
      <c r="B122" s="2">
        <v>5</v>
      </c>
      <c r="C122" s="3">
        <v>100</v>
      </c>
      <c r="D122" s="2">
        <v>1.1499999999999999</v>
      </c>
      <c r="E122" s="2">
        <v>3</v>
      </c>
      <c r="F122" s="2">
        <v>3</v>
      </c>
      <c r="G122" s="2">
        <v>0.74199999999999999</v>
      </c>
      <c r="H122" s="2">
        <v>0</v>
      </c>
      <c r="I122" s="2">
        <v>1</v>
      </c>
      <c r="J122" s="3">
        <v>2</v>
      </c>
      <c r="K122" s="2">
        <v>45</v>
      </c>
      <c r="L122" s="2">
        <v>1</v>
      </c>
      <c r="M122" s="3">
        <v>3600</v>
      </c>
      <c r="N122" s="5">
        <f t="shared" si="7"/>
        <v>0.62580000000000002</v>
      </c>
      <c r="O122" s="19">
        <f>AVERAGE(M113:M122)</f>
        <v>3600</v>
      </c>
      <c r="P122" s="2">
        <f t="shared" si="4"/>
        <v>0</v>
      </c>
      <c r="Q122" s="8">
        <f t="shared" si="5"/>
        <v>97.777777777777771</v>
      </c>
      <c r="R122" s="2" t="str">
        <f t="shared" si="6"/>
        <v/>
      </c>
    </row>
    <row r="123" spans="1:18" x14ac:dyDescent="0.3">
      <c r="A123">
        <v>60</v>
      </c>
      <c r="B123">
        <v>2</v>
      </c>
      <c r="C123" s="1">
        <v>10</v>
      </c>
      <c r="D123">
        <v>1.1499999999999999</v>
      </c>
      <c r="E123">
        <v>6</v>
      </c>
      <c r="F123">
        <v>6</v>
      </c>
      <c r="G123">
        <v>3.2240000000000002</v>
      </c>
      <c r="H123">
        <v>0</v>
      </c>
      <c r="I123">
        <v>0</v>
      </c>
      <c r="J123" s="1">
        <v>1</v>
      </c>
      <c r="K123">
        <v>7</v>
      </c>
      <c r="L123">
        <v>2</v>
      </c>
      <c r="M123" s="1">
        <v>3600</v>
      </c>
      <c r="P123">
        <f t="shared" si="4"/>
        <v>0</v>
      </c>
      <c r="Q123" s="7">
        <f t="shared" si="5"/>
        <v>71.428571428571431</v>
      </c>
      <c r="R123" t="str">
        <f t="shared" si="6"/>
        <v/>
      </c>
    </row>
    <row r="124" spans="1:18" x14ac:dyDescent="0.3">
      <c r="A124">
        <v>60</v>
      </c>
      <c r="B124">
        <v>2</v>
      </c>
      <c r="C124" s="1">
        <v>20</v>
      </c>
      <c r="D124">
        <v>1.1499999999999999</v>
      </c>
      <c r="E124">
        <v>6</v>
      </c>
      <c r="F124">
        <v>6</v>
      </c>
      <c r="G124">
        <v>3.1739999999999999</v>
      </c>
      <c r="H124">
        <v>0</v>
      </c>
      <c r="I124">
        <v>0</v>
      </c>
      <c r="J124" s="1">
        <v>1</v>
      </c>
      <c r="K124">
        <v>6</v>
      </c>
      <c r="L124">
        <v>2</v>
      </c>
      <c r="M124" s="1">
        <v>3600</v>
      </c>
      <c r="P124">
        <f t="shared" si="4"/>
        <v>0</v>
      </c>
      <c r="Q124" s="7">
        <f t="shared" si="5"/>
        <v>66.666666666666657</v>
      </c>
      <c r="R124" t="str">
        <f t="shared" si="6"/>
        <v/>
      </c>
    </row>
    <row r="125" spans="1:18" x14ac:dyDescent="0.3">
      <c r="A125">
        <v>60</v>
      </c>
      <c r="B125">
        <v>2</v>
      </c>
      <c r="C125" s="1">
        <v>30</v>
      </c>
      <c r="D125">
        <v>1.1499999999999999</v>
      </c>
      <c r="E125">
        <v>6</v>
      </c>
      <c r="F125">
        <v>6</v>
      </c>
      <c r="G125">
        <v>3.7040000000000002</v>
      </c>
      <c r="H125">
        <v>0</v>
      </c>
      <c r="I125">
        <v>0</v>
      </c>
      <c r="J125" s="1">
        <v>1</v>
      </c>
      <c r="K125">
        <v>6</v>
      </c>
      <c r="L125">
        <v>2</v>
      </c>
      <c r="M125" s="1">
        <v>3600</v>
      </c>
      <c r="P125">
        <f t="shared" si="4"/>
        <v>0</v>
      </c>
      <c r="Q125" s="7">
        <f t="shared" si="5"/>
        <v>66.666666666666657</v>
      </c>
      <c r="R125" t="str">
        <f t="shared" si="6"/>
        <v/>
      </c>
    </row>
    <row r="126" spans="1:18" x14ac:dyDescent="0.3">
      <c r="A126">
        <v>60</v>
      </c>
      <c r="B126">
        <v>2</v>
      </c>
      <c r="C126" s="1">
        <v>40</v>
      </c>
      <c r="D126">
        <v>1.1499999999999999</v>
      </c>
      <c r="E126">
        <v>6</v>
      </c>
      <c r="F126">
        <v>6</v>
      </c>
      <c r="G126">
        <v>3.2370000000000001</v>
      </c>
      <c r="H126">
        <v>0</v>
      </c>
      <c r="I126">
        <v>0</v>
      </c>
      <c r="J126" s="1">
        <v>1</v>
      </c>
      <c r="K126">
        <v>6</v>
      </c>
      <c r="L126">
        <v>2</v>
      </c>
      <c r="M126" s="1">
        <v>3600</v>
      </c>
      <c r="P126">
        <f t="shared" si="4"/>
        <v>0</v>
      </c>
      <c r="Q126" s="7">
        <f t="shared" si="5"/>
        <v>66.666666666666657</v>
      </c>
      <c r="R126" t="str">
        <f t="shared" si="6"/>
        <v/>
      </c>
    </row>
    <row r="127" spans="1:18" x14ac:dyDescent="0.3">
      <c r="A127">
        <v>60</v>
      </c>
      <c r="B127">
        <v>2</v>
      </c>
      <c r="C127" s="1">
        <v>50</v>
      </c>
      <c r="D127">
        <v>1.1499999999999999</v>
      </c>
      <c r="E127">
        <v>6</v>
      </c>
      <c r="F127">
        <v>6</v>
      </c>
      <c r="G127">
        <v>2.6850000000000001</v>
      </c>
      <c r="H127">
        <v>0</v>
      </c>
      <c r="I127">
        <v>0</v>
      </c>
      <c r="J127" s="1">
        <v>1</v>
      </c>
      <c r="K127">
        <v>6</v>
      </c>
      <c r="L127">
        <v>2</v>
      </c>
      <c r="M127" s="1">
        <v>3600</v>
      </c>
      <c r="P127">
        <f t="shared" si="4"/>
        <v>0</v>
      </c>
      <c r="Q127" s="7">
        <f t="shared" si="5"/>
        <v>66.666666666666657</v>
      </c>
      <c r="R127" t="str">
        <f t="shared" si="6"/>
        <v/>
      </c>
    </row>
    <row r="128" spans="1:18" x14ac:dyDescent="0.3">
      <c r="A128">
        <v>60</v>
      </c>
      <c r="B128">
        <v>2</v>
      </c>
      <c r="C128" s="1">
        <v>60</v>
      </c>
      <c r="D128">
        <v>1.1499999999999999</v>
      </c>
      <c r="E128">
        <v>6</v>
      </c>
      <c r="F128">
        <v>6</v>
      </c>
      <c r="G128">
        <v>3.3330000000000002</v>
      </c>
      <c r="H128">
        <v>0</v>
      </c>
      <c r="I128">
        <v>0</v>
      </c>
      <c r="J128" s="1">
        <v>1</v>
      </c>
      <c r="K128">
        <v>6</v>
      </c>
      <c r="L128">
        <v>2</v>
      </c>
      <c r="M128" s="1">
        <v>3600</v>
      </c>
      <c r="P128">
        <f t="shared" si="4"/>
        <v>0</v>
      </c>
      <c r="Q128" s="7">
        <f t="shared" si="5"/>
        <v>66.666666666666657</v>
      </c>
      <c r="R128" t="str">
        <f t="shared" si="6"/>
        <v/>
      </c>
    </row>
    <row r="129" spans="1:18" x14ac:dyDescent="0.3">
      <c r="A129">
        <v>60</v>
      </c>
      <c r="B129">
        <v>2</v>
      </c>
      <c r="C129" s="1">
        <v>70</v>
      </c>
      <c r="D129">
        <v>1.1499999999999999</v>
      </c>
      <c r="E129">
        <v>6</v>
      </c>
      <c r="F129">
        <v>6</v>
      </c>
      <c r="G129">
        <v>3.6240000000000001</v>
      </c>
      <c r="H129">
        <v>0</v>
      </c>
      <c r="I129">
        <v>0</v>
      </c>
      <c r="J129" s="1">
        <v>1</v>
      </c>
      <c r="K129">
        <v>6</v>
      </c>
      <c r="L129">
        <v>2</v>
      </c>
      <c r="M129" s="1">
        <v>3600</v>
      </c>
      <c r="P129">
        <f t="shared" si="4"/>
        <v>0</v>
      </c>
      <c r="Q129" s="7">
        <f t="shared" si="5"/>
        <v>66.666666666666657</v>
      </c>
      <c r="R129" t="str">
        <f t="shared" si="6"/>
        <v/>
      </c>
    </row>
    <row r="130" spans="1:18" x14ac:dyDescent="0.3">
      <c r="A130">
        <v>60</v>
      </c>
      <c r="B130">
        <v>2</v>
      </c>
      <c r="C130" s="1">
        <v>80</v>
      </c>
      <c r="D130">
        <v>1.1499999999999999</v>
      </c>
      <c r="E130">
        <v>6</v>
      </c>
      <c r="F130">
        <v>6</v>
      </c>
      <c r="G130">
        <v>3.06</v>
      </c>
      <c r="H130">
        <v>0</v>
      </c>
      <c r="I130">
        <v>0</v>
      </c>
      <c r="J130" s="1">
        <v>1</v>
      </c>
      <c r="K130">
        <v>6</v>
      </c>
      <c r="L130">
        <v>2</v>
      </c>
      <c r="M130" s="1">
        <v>3600</v>
      </c>
      <c r="P130">
        <f t="shared" si="4"/>
        <v>0</v>
      </c>
      <c r="Q130" s="7">
        <f t="shared" si="5"/>
        <v>66.666666666666657</v>
      </c>
      <c r="R130" t="str">
        <f t="shared" si="6"/>
        <v/>
      </c>
    </row>
    <row r="131" spans="1:18" x14ac:dyDescent="0.3">
      <c r="A131">
        <v>60</v>
      </c>
      <c r="B131">
        <v>2</v>
      </c>
      <c r="C131" s="1">
        <v>90</v>
      </c>
      <c r="D131">
        <v>1.1499999999999999</v>
      </c>
      <c r="E131">
        <v>6</v>
      </c>
      <c r="F131">
        <v>6</v>
      </c>
      <c r="G131">
        <v>3.3969999999999998</v>
      </c>
      <c r="H131">
        <v>0</v>
      </c>
      <c r="I131">
        <v>0</v>
      </c>
      <c r="J131" s="1">
        <v>1</v>
      </c>
      <c r="K131">
        <v>6</v>
      </c>
      <c r="L131">
        <v>2</v>
      </c>
      <c r="M131" s="1">
        <v>3600</v>
      </c>
      <c r="P131">
        <f t="shared" si="4"/>
        <v>0</v>
      </c>
      <c r="Q131" s="7">
        <f t="shared" si="5"/>
        <v>66.666666666666657</v>
      </c>
      <c r="R131" t="str">
        <f t="shared" si="6"/>
        <v/>
      </c>
    </row>
    <row r="132" spans="1:18" s="2" customFormat="1" x14ac:dyDescent="0.3">
      <c r="A132" s="2">
        <v>60</v>
      </c>
      <c r="B132" s="2">
        <v>2</v>
      </c>
      <c r="C132" s="3">
        <v>100</v>
      </c>
      <c r="D132" s="2">
        <v>1.1499999999999999</v>
      </c>
      <c r="E132" s="2">
        <v>6</v>
      </c>
      <c r="F132" s="2">
        <v>6</v>
      </c>
      <c r="G132" s="2">
        <v>3.194</v>
      </c>
      <c r="H132" s="2">
        <v>0</v>
      </c>
      <c r="I132" s="2">
        <v>0</v>
      </c>
      <c r="J132" s="3">
        <v>1</v>
      </c>
      <c r="K132" s="2">
        <v>6</v>
      </c>
      <c r="L132" s="2">
        <v>2</v>
      </c>
      <c r="M132" s="3">
        <v>3600</v>
      </c>
      <c r="N132" s="5">
        <f t="shared" si="7"/>
        <v>3.2631999999999999</v>
      </c>
      <c r="O132" s="19">
        <f>AVERAGE(M123:M132)</f>
        <v>3600</v>
      </c>
      <c r="P132" s="2">
        <f t="shared" ref="P132:P195" si="8">IF(ISBLANK(E132),IF(ISBLANK(F132),"",100), IF(E132+F132=0, 0, IF(G132=3600, IF(E132=F132,1,(E132-F132)/E132*100), 0)))</f>
        <v>0</v>
      </c>
      <c r="Q132" s="8">
        <f t="shared" ref="Q132:Q195" si="9">IF(ISBLANK(K132),"",IF(K132+L132=0,0,IF(M132=3600,IF(K132=L132,1,(K132-L132)/K132*100),0)))</f>
        <v>66.666666666666657</v>
      </c>
      <c r="R132" s="2" t="str">
        <f t="shared" ref="R132:R195" si="10">IF(OR(AND(P132=0,E132&gt;K132),L132&gt;E132),TRUE,"")</f>
        <v/>
      </c>
    </row>
    <row r="133" spans="1:18" x14ac:dyDescent="0.3">
      <c r="A133">
        <v>60</v>
      </c>
      <c r="B133">
        <v>3</v>
      </c>
      <c r="C133" s="1">
        <v>10</v>
      </c>
      <c r="D133">
        <v>1.1499999999999999</v>
      </c>
      <c r="E133">
        <v>5</v>
      </c>
      <c r="F133">
        <v>5</v>
      </c>
      <c r="G133">
        <v>2.7719999999999998</v>
      </c>
      <c r="H133">
        <v>0</v>
      </c>
      <c r="I133">
        <v>0</v>
      </c>
      <c r="J133" s="1">
        <v>1</v>
      </c>
      <c r="K133">
        <v>57</v>
      </c>
      <c r="L133">
        <v>1</v>
      </c>
      <c r="M133" s="1">
        <v>3600</v>
      </c>
      <c r="P133">
        <f t="shared" si="8"/>
        <v>0</v>
      </c>
      <c r="Q133" s="7">
        <f t="shared" si="9"/>
        <v>98.245614035087712</v>
      </c>
      <c r="R133" t="str">
        <f t="shared" si="10"/>
        <v/>
      </c>
    </row>
    <row r="134" spans="1:18" x14ac:dyDescent="0.3">
      <c r="A134">
        <v>60</v>
      </c>
      <c r="B134">
        <v>3</v>
      </c>
      <c r="C134" s="1">
        <v>20</v>
      </c>
      <c r="D134">
        <v>1.1499999999999999</v>
      </c>
      <c r="E134">
        <v>5</v>
      </c>
      <c r="F134">
        <v>5</v>
      </c>
      <c r="G134">
        <v>2.4609999999999999</v>
      </c>
      <c r="H134">
        <v>0</v>
      </c>
      <c r="I134">
        <v>0</v>
      </c>
      <c r="J134" s="1">
        <v>1</v>
      </c>
      <c r="K134">
        <v>8</v>
      </c>
      <c r="L134">
        <v>1</v>
      </c>
      <c r="M134" s="1">
        <v>3600</v>
      </c>
      <c r="P134">
        <f t="shared" si="8"/>
        <v>0</v>
      </c>
      <c r="Q134" s="7">
        <f t="shared" si="9"/>
        <v>87.5</v>
      </c>
      <c r="R134" t="str">
        <f t="shared" si="10"/>
        <v/>
      </c>
    </row>
    <row r="135" spans="1:18" x14ac:dyDescent="0.3">
      <c r="A135">
        <v>60</v>
      </c>
      <c r="B135">
        <v>3</v>
      </c>
      <c r="C135" s="1">
        <v>30</v>
      </c>
      <c r="D135">
        <v>1.1499999999999999</v>
      </c>
      <c r="E135">
        <v>5</v>
      </c>
      <c r="F135">
        <v>5</v>
      </c>
      <c r="G135">
        <v>2.887</v>
      </c>
      <c r="H135">
        <v>0</v>
      </c>
      <c r="I135">
        <v>0</v>
      </c>
      <c r="J135" s="1">
        <v>1</v>
      </c>
      <c r="K135">
        <v>5</v>
      </c>
      <c r="L135">
        <v>1</v>
      </c>
      <c r="M135" s="1">
        <v>3600</v>
      </c>
      <c r="P135">
        <f t="shared" si="8"/>
        <v>0</v>
      </c>
      <c r="Q135" s="7">
        <f t="shared" si="9"/>
        <v>80</v>
      </c>
      <c r="R135" t="str">
        <f t="shared" si="10"/>
        <v/>
      </c>
    </row>
    <row r="136" spans="1:18" x14ac:dyDescent="0.3">
      <c r="A136">
        <v>60</v>
      </c>
      <c r="B136">
        <v>3</v>
      </c>
      <c r="C136" s="1">
        <v>40</v>
      </c>
      <c r="D136">
        <v>1.1499999999999999</v>
      </c>
      <c r="E136">
        <v>5</v>
      </c>
      <c r="F136">
        <v>5</v>
      </c>
      <c r="G136">
        <v>2.1720000000000002</v>
      </c>
      <c r="H136">
        <v>0</v>
      </c>
      <c r="I136">
        <v>0</v>
      </c>
      <c r="J136" s="1">
        <v>1</v>
      </c>
      <c r="K136">
        <v>6</v>
      </c>
      <c r="L136">
        <v>1</v>
      </c>
      <c r="M136" s="1">
        <v>3600</v>
      </c>
      <c r="P136">
        <f t="shared" si="8"/>
        <v>0</v>
      </c>
      <c r="Q136" s="7">
        <f t="shared" si="9"/>
        <v>83.333333333333343</v>
      </c>
      <c r="R136" t="str">
        <f t="shared" si="10"/>
        <v/>
      </c>
    </row>
    <row r="137" spans="1:18" x14ac:dyDescent="0.3">
      <c r="A137">
        <v>60</v>
      </c>
      <c r="B137">
        <v>3</v>
      </c>
      <c r="C137" s="1">
        <v>50</v>
      </c>
      <c r="D137">
        <v>1.1499999999999999</v>
      </c>
      <c r="E137">
        <v>5</v>
      </c>
      <c r="F137">
        <v>5</v>
      </c>
      <c r="G137">
        <v>1.8740000000000001</v>
      </c>
      <c r="H137">
        <v>0</v>
      </c>
      <c r="I137">
        <v>0</v>
      </c>
      <c r="J137" s="1">
        <v>1</v>
      </c>
      <c r="K137">
        <v>7</v>
      </c>
      <c r="L137">
        <v>1</v>
      </c>
      <c r="M137" s="1">
        <v>3600</v>
      </c>
      <c r="P137">
        <f t="shared" si="8"/>
        <v>0</v>
      </c>
      <c r="Q137" s="7">
        <f t="shared" si="9"/>
        <v>85.714285714285708</v>
      </c>
      <c r="R137" t="str">
        <f t="shared" si="10"/>
        <v/>
      </c>
    </row>
    <row r="138" spans="1:18" x14ac:dyDescent="0.3">
      <c r="A138">
        <v>60</v>
      </c>
      <c r="B138">
        <v>3</v>
      </c>
      <c r="C138" s="1">
        <v>60</v>
      </c>
      <c r="D138">
        <v>1.1499999999999999</v>
      </c>
      <c r="E138">
        <v>5</v>
      </c>
      <c r="F138">
        <v>5</v>
      </c>
      <c r="G138">
        <v>1.958</v>
      </c>
      <c r="H138">
        <v>0</v>
      </c>
      <c r="I138">
        <v>0</v>
      </c>
      <c r="J138" s="1">
        <v>1</v>
      </c>
      <c r="K138">
        <v>5</v>
      </c>
      <c r="L138">
        <v>1</v>
      </c>
      <c r="M138" s="1">
        <v>3600</v>
      </c>
      <c r="P138">
        <f t="shared" si="8"/>
        <v>0</v>
      </c>
      <c r="Q138" s="7">
        <f t="shared" si="9"/>
        <v>80</v>
      </c>
      <c r="R138" t="str">
        <f t="shared" si="10"/>
        <v/>
      </c>
    </row>
    <row r="139" spans="1:18" x14ac:dyDescent="0.3">
      <c r="A139">
        <v>60</v>
      </c>
      <c r="B139">
        <v>3</v>
      </c>
      <c r="C139" s="1">
        <v>70</v>
      </c>
      <c r="D139">
        <v>1.1499999999999999</v>
      </c>
      <c r="E139">
        <v>5</v>
      </c>
      <c r="F139">
        <v>5</v>
      </c>
      <c r="G139">
        <v>2.8290000000000002</v>
      </c>
      <c r="H139">
        <v>0</v>
      </c>
      <c r="I139">
        <v>0</v>
      </c>
      <c r="J139" s="1">
        <v>1</v>
      </c>
      <c r="K139">
        <v>5</v>
      </c>
      <c r="L139">
        <v>1</v>
      </c>
      <c r="M139" s="1">
        <v>3600</v>
      </c>
      <c r="P139">
        <f t="shared" si="8"/>
        <v>0</v>
      </c>
      <c r="Q139" s="7">
        <f t="shared" si="9"/>
        <v>80</v>
      </c>
      <c r="R139" t="str">
        <f t="shared" si="10"/>
        <v/>
      </c>
    </row>
    <row r="140" spans="1:18" x14ac:dyDescent="0.3">
      <c r="A140">
        <v>60</v>
      </c>
      <c r="B140">
        <v>3</v>
      </c>
      <c r="C140" s="1">
        <v>80</v>
      </c>
      <c r="D140">
        <v>1.1499999999999999</v>
      </c>
      <c r="E140">
        <v>5</v>
      </c>
      <c r="F140">
        <v>5</v>
      </c>
      <c r="G140">
        <v>2.2130000000000001</v>
      </c>
      <c r="H140">
        <v>0</v>
      </c>
      <c r="I140">
        <v>0</v>
      </c>
      <c r="J140" s="1">
        <v>1</v>
      </c>
      <c r="K140">
        <v>57</v>
      </c>
      <c r="L140">
        <v>1</v>
      </c>
      <c r="M140" s="1">
        <v>3600</v>
      </c>
      <c r="P140">
        <f t="shared" si="8"/>
        <v>0</v>
      </c>
      <c r="Q140" s="7">
        <f t="shared" si="9"/>
        <v>98.245614035087712</v>
      </c>
      <c r="R140" t="str">
        <f t="shared" si="10"/>
        <v/>
      </c>
    </row>
    <row r="141" spans="1:18" x14ac:dyDescent="0.3">
      <c r="A141">
        <v>60</v>
      </c>
      <c r="B141">
        <v>3</v>
      </c>
      <c r="C141" s="1">
        <v>90</v>
      </c>
      <c r="D141">
        <v>1.1499999999999999</v>
      </c>
      <c r="E141">
        <v>5</v>
      </c>
      <c r="F141">
        <v>5</v>
      </c>
      <c r="G141">
        <v>2.9089999999999998</v>
      </c>
      <c r="H141">
        <v>0</v>
      </c>
      <c r="I141">
        <v>0</v>
      </c>
      <c r="J141" s="1">
        <v>1</v>
      </c>
      <c r="K141">
        <v>5</v>
      </c>
      <c r="L141">
        <v>1</v>
      </c>
      <c r="M141" s="1">
        <v>3600</v>
      </c>
      <c r="P141">
        <f t="shared" si="8"/>
        <v>0</v>
      </c>
      <c r="Q141" s="7">
        <f t="shared" si="9"/>
        <v>80</v>
      </c>
      <c r="R141" t="str">
        <f t="shared" si="10"/>
        <v/>
      </c>
    </row>
    <row r="142" spans="1:18" s="2" customFormat="1" x14ac:dyDescent="0.3">
      <c r="A142" s="2">
        <v>60</v>
      </c>
      <c r="B142" s="2">
        <v>3</v>
      </c>
      <c r="C142" s="3">
        <v>100</v>
      </c>
      <c r="D142" s="2">
        <v>1.1499999999999999</v>
      </c>
      <c r="E142" s="2">
        <v>5</v>
      </c>
      <c r="F142" s="2">
        <v>5</v>
      </c>
      <c r="G142" s="2">
        <v>2.8159999999999998</v>
      </c>
      <c r="H142" s="2">
        <v>0</v>
      </c>
      <c r="I142" s="2">
        <v>0</v>
      </c>
      <c r="J142" s="3">
        <v>1</v>
      </c>
      <c r="K142" s="2">
        <v>5</v>
      </c>
      <c r="L142" s="2">
        <v>1</v>
      </c>
      <c r="M142" s="3">
        <v>3600</v>
      </c>
      <c r="N142" s="5">
        <f t="shared" ref="N142:N202" si="11">AVERAGE(G133:G142)</f>
        <v>2.4890999999999996</v>
      </c>
      <c r="O142" s="19">
        <f>AVERAGE(M133:M142)</f>
        <v>3600</v>
      </c>
      <c r="P142" s="2">
        <f t="shared" si="8"/>
        <v>0</v>
      </c>
      <c r="Q142" s="8">
        <f t="shared" si="9"/>
        <v>80</v>
      </c>
      <c r="R142" s="2" t="str">
        <f t="shared" si="10"/>
        <v/>
      </c>
    </row>
    <row r="143" spans="1:18" x14ac:dyDescent="0.3">
      <c r="A143">
        <v>60</v>
      </c>
      <c r="B143">
        <v>4</v>
      </c>
      <c r="C143" s="1">
        <v>10</v>
      </c>
      <c r="D143">
        <v>1.1499999999999999</v>
      </c>
      <c r="E143">
        <v>4</v>
      </c>
      <c r="F143">
        <v>4</v>
      </c>
      <c r="G143">
        <v>1.621</v>
      </c>
      <c r="H143">
        <v>0</v>
      </c>
      <c r="I143">
        <v>0</v>
      </c>
      <c r="J143" s="1">
        <v>1</v>
      </c>
      <c r="K143">
        <v>56</v>
      </c>
      <c r="L143">
        <v>1</v>
      </c>
      <c r="M143" s="1">
        <v>3600</v>
      </c>
      <c r="P143">
        <f t="shared" si="8"/>
        <v>0</v>
      </c>
      <c r="Q143" s="7">
        <f t="shared" si="9"/>
        <v>98.214285714285708</v>
      </c>
      <c r="R143" t="str">
        <f t="shared" si="10"/>
        <v/>
      </c>
    </row>
    <row r="144" spans="1:18" x14ac:dyDescent="0.3">
      <c r="A144">
        <v>60</v>
      </c>
      <c r="B144">
        <v>4</v>
      </c>
      <c r="C144" s="1">
        <v>20</v>
      </c>
      <c r="D144">
        <v>1.1499999999999999</v>
      </c>
      <c r="E144">
        <v>4</v>
      </c>
      <c r="F144">
        <v>4</v>
      </c>
      <c r="G144">
        <v>1.7370000000000001</v>
      </c>
      <c r="H144">
        <v>0</v>
      </c>
      <c r="I144">
        <v>0</v>
      </c>
      <c r="J144" s="1">
        <v>1</v>
      </c>
      <c r="K144">
        <v>56</v>
      </c>
      <c r="L144">
        <v>1</v>
      </c>
      <c r="M144" s="1">
        <v>3600</v>
      </c>
      <c r="P144">
        <f t="shared" si="8"/>
        <v>0</v>
      </c>
      <c r="Q144" s="7">
        <f t="shared" si="9"/>
        <v>98.214285714285708</v>
      </c>
      <c r="R144" t="str">
        <f t="shared" si="10"/>
        <v/>
      </c>
    </row>
    <row r="145" spans="1:18" x14ac:dyDescent="0.3">
      <c r="A145">
        <v>60</v>
      </c>
      <c r="B145">
        <v>4</v>
      </c>
      <c r="C145" s="1">
        <v>30</v>
      </c>
      <c r="D145">
        <v>1.1499999999999999</v>
      </c>
      <c r="E145">
        <v>4</v>
      </c>
      <c r="F145">
        <v>4</v>
      </c>
      <c r="G145">
        <v>2.0190000000000001</v>
      </c>
      <c r="H145">
        <v>0</v>
      </c>
      <c r="I145">
        <v>0</v>
      </c>
      <c r="J145" s="1">
        <v>1</v>
      </c>
      <c r="K145">
        <v>4</v>
      </c>
      <c r="L145">
        <v>1</v>
      </c>
      <c r="M145" s="1">
        <v>3600</v>
      </c>
      <c r="P145">
        <f t="shared" si="8"/>
        <v>0</v>
      </c>
      <c r="Q145" s="7">
        <f t="shared" si="9"/>
        <v>75</v>
      </c>
      <c r="R145" t="str">
        <f t="shared" si="10"/>
        <v/>
      </c>
    </row>
    <row r="146" spans="1:18" x14ac:dyDescent="0.3">
      <c r="A146">
        <v>60</v>
      </c>
      <c r="B146">
        <v>4</v>
      </c>
      <c r="C146" s="1">
        <v>40</v>
      </c>
      <c r="D146">
        <v>1.1499999999999999</v>
      </c>
      <c r="E146">
        <v>4</v>
      </c>
      <c r="F146">
        <v>4</v>
      </c>
      <c r="G146">
        <v>2.3380000000000001</v>
      </c>
      <c r="H146">
        <v>0</v>
      </c>
      <c r="I146">
        <v>0</v>
      </c>
      <c r="J146" s="1">
        <v>1</v>
      </c>
      <c r="K146">
        <v>4</v>
      </c>
      <c r="L146">
        <v>1</v>
      </c>
      <c r="M146" s="1">
        <v>3600</v>
      </c>
      <c r="P146">
        <f t="shared" si="8"/>
        <v>0</v>
      </c>
      <c r="Q146" s="7">
        <f t="shared" si="9"/>
        <v>75</v>
      </c>
      <c r="R146" t="str">
        <f t="shared" si="10"/>
        <v/>
      </c>
    </row>
    <row r="147" spans="1:18" x14ac:dyDescent="0.3">
      <c r="A147">
        <v>60</v>
      </c>
      <c r="B147">
        <v>4</v>
      </c>
      <c r="C147" s="1">
        <v>50</v>
      </c>
      <c r="D147">
        <v>1.1499999999999999</v>
      </c>
      <c r="E147">
        <v>4</v>
      </c>
      <c r="F147">
        <v>4</v>
      </c>
      <c r="G147">
        <v>2.5219999999999998</v>
      </c>
      <c r="H147">
        <v>0</v>
      </c>
      <c r="I147">
        <v>0</v>
      </c>
      <c r="J147" s="1">
        <v>1</v>
      </c>
      <c r="K147">
        <v>56</v>
      </c>
      <c r="L147">
        <v>1</v>
      </c>
      <c r="M147" s="1">
        <v>3600</v>
      </c>
      <c r="P147">
        <f t="shared" si="8"/>
        <v>0</v>
      </c>
      <c r="Q147" s="7">
        <f t="shared" si="9"/>
        <v>98.214285714285708</v>
      </c>
      <c r="R147" t="str">
        <f t="shared" si="10"/>
        <v/>
      </c>
    </row>
    <row r="148" spans="1:18" x14ac:dyDescent="0.3">
      <c r="A148">
        <v>60</v>
      </c>
      <c r="B148">
        <v>4</v>
      </c>
      <c r="C148" s="1">
        <v>60</v>
      </c>
      <c r="D148">
        <v>1.1499999999999999</v>
      </c>
      <c r="E148">
        <v>4</v>
      </c>
      <c r="F148">
        <v>4</v>
      </c>
      <c r="G148">
        <v>2.6259999999999999</v>
      </c>
      <c r="H148">
        <v>0</v>
      </c>
      <c r="I148">
        <v>0</v>
      </c>
      <c r="J148" s="1">
        <v>1</v>
      </c>
      <c r="K148">
        <v>5</v>
      </c>
      <c r="L148">
        <v>1</v>
      </c>
      <c r="M148" s="1">
        <v>3600</v>
      </c>
      <c r="P148">
        <f t="shared" si="8"/>
        <v>0</v>
      </c>
      <c r="Q148" s="7">
        <f t="shared" si="9"/>
        <v>80</v>
      </c>
      <c r="R148" t="str">
        <f t="shared" si="10"/>
        <v/>
      </c>
    </row>
    <row r="149" spans="1:18" x14ac:dyDescent="0.3">
      <c r="A149">
        <v>60</v>
      </c>
      <c r="B149">
        <v>4</v>
      </c>
      <c r="C149" s="1">
        <v>70</v>
      </c>
      <c r="D149">
        <v>1.1499999999999999</v>
      </c>
      <c r="E149">
        <v>4</v>
      </c>
      <c r="F149">
        <v>4</v>
      </c>
      <c r="G149">
        <v>2.8660000000000001</v>
      </c>
      <c r="H149">
        <v>0</v>
      </c>
      <c r="I149">
        <v>0</v>
      </c>
      <c r="J149" s="1">
        <v>1</v>
      </c>
      <c r="K149">
        <v>4</v>
      </c>
      <c r="L149">
        <v>1</v>
      </c>
      <c r="M149" s="1">
        <v>3600</v>
      </c>
      <c r="P149">
        <f t="shared" si="8"/>
        <v>0</v>
      </c>
      <c r="Q149" s="7">
        <f t="shared" si="9"/>
        <v>75</v>
      </c>
      <c r="R149" t="str">
        <f t="shared" si="10"/>
        <v/>
      </c>
    </row>
    <row r="150" spans="1:18" x14ac:dyDescent="0.3">
      <c r="A150">
        <v>60</v>
      </c>
      <c r="B150">
        <v>4</v>
      </c>
      <c r="C150" s="1">
        <v>80</v>
      </c>
      <c r="D150">
        <v>1.1499999999999999</v>
      </c>
      <c r="E150">
        <v>4</v>
      </c>
      <c r="F150">
        <v>4</v>
      </c>
      <c r="G150">
        <v>2.681</v>
      </c>
      <c r="H150">
        <v>0</v>
      </c>
      <c r="I150">
        <v>0</v>
      </c>
      <c r="J150" s="1">
        <v>1</v>
      </c>
      <c r="K150">
        <v>56</v>
      </c>
      <c r="L150">
        <v>1</v>
      </c>
      <c r="M150" s="1">
        <v>3600</v>
      </c>
      <c r="P150">
        <f t="shared" si="8"/>
        <v>0</v>
      </c>
      <c r="Q150" s="7">
        <f t="shared" si="9"/>
        <v>98.214285714285708</v>
      </c>
      <c r="R150" t="str">
        <f t="shared" si="10"/>
        <v/>
      </c>
    </row>
    <row r="151" spans="1:18" x14ac:dyDescent="0.3">
      <c r="A151">
        <v>60</v>
      </c>
      <c r="B151">
        <v>4</v>
      </c>
      <c r="C151" s="1">
        <v>90</v>
      </c>
      <c r="D151">
        <v>1.1499999999999999</v>
      </c>
      <c r="E151">
        <v>4</v>
      </c>
      <c r="F151">
        <v>4</v>
      </c>
      <c r="G151">
        <v>2.6120000000000001</v>
      </c>
      <c r="H151">
        <v>0</v>
      </c>
      <c r="I151">
        <v>0</v>
      </c>
      <c r="J151" s="1">
        <v>1</v>
      </c>
      <c r="K151">
        <v>56</v>
      </c>
      <c r="L151">
        <v>1</v>
      </c>
      <c r="M151" s="1">
        <v>3600</v>
      </c>
      <c r="P151">
        <f t="shared" si="8"/>
        <v>0</v>
      </c>
      <c r="Q151" s="7">
        <f t="shared" si="9"/>
        <v>98.214285714285708</v>
      </c>
      <c r="R151" t="str">
        <f t="shared" si="10"/>
        <v/>
      </c>
    </row>
    <row r="152" spans="1:18" s="2" customFormat="1" x14ac:dyDescent="0.3">
      <c r="A152" s="2">
        <v>60</v>
      </c>
      <c r="B152" s="2">
        <v>4</v>
      </c>
      <c r="C152" s="3">
        <v>100</v>
      </c>
      <c r="D152" s="2">
        <v>1.1499999999999999</v>
      </c>
      <c r="E152" s="2">
        <v>4</v>
      </c>
      <c r="F152" s="2">
        <v>4</v>
      </c>
      <c r="G152" s="2">
        <v>2.5379999999999998</v>
      </c>
      <c r="H152" s="2">
        <v>0</v>
      </c>
      <c r="I152" s="2">
        <v>0</v>
      </c>
      <c r="J152" s="3">
        <v>1</v>
      </c>
      <c r="K152" s="2">
        <v>56</v>
      </c>
      <c r="L152" s="2">
        <v>1</v>
      </c>
      <c r="M152" s="3">
        <v>3600</v>
      </c>
      <c r="N152" s="5">
        <f t="shared" si="11"/>
        <v>2.3559999999999999</v>
      </c>
      <c r="O152" s="19">
        <f>AVERAGE(M143:M152)</f>
        <v>3600</v>
      </c>
      <c r="P152" s="2">
        <f t="shared" si="8"/>
        <v>0</v>
      </c>
      <c r="Q152" s="8">
        <f t="shared" si="9"/>
        <v>98.214285714285708</v>
      </c>
      <c r="R152" s="2" t="str">
        <f t="shared" si="10"/>
        <v/>
      </c>
    </row>
    <row r="153" spans="1:18" x14ac:dyDescent="0.3">
      <c r="A153">
        <v>60</v>
      </c>
      <c r="B153">
        <v>5</v>
      </c>
      <c r="C153" s="1">
        <v>10</v>
      </c>
      <c r="D153">
        <v>1.1499999999999999</v>
      </c>
      <c r="E153">
        <v>3</v>
      </c>
      <c r="F153">
        <v>3</v>
      </c>
      <c r="G153">
        <v>1.8779999999999999</v>
      </c>
      <c r="H153">
        <v>0</v>
      </c>
      <c r="I153">
        <v>0</v>
      </c>
      <c r="J153" s="1">
        <v>1</v>
      </c>
      <c r="K153">
        <v>55</v>
      </c>
      <c r="L153">
        <v>0</v>
      </c>
      <c r="M153" s="1">
        <v>3600</v>
      </c>
      <c r="P153">
        <f t="shared" si="8"/>
        <v>0</v>
      </c>
      <c r="Q153" s="7">
        <f t="shared" si="9"/>
        <v>100</v>
      </c>
      <c r="R153" t="str">
        <f t="shared" si="10"/>
        <v/>
      </c>
    </row>
    <row r="154" spans="1:18" x14ac:dyDescent="0.3">
      <c r="A154">
        <v>60</v>
      </c>
      <c r="B154">
        <v>5</v>
      </c>
      <c r="C154" s="1">
        <v>20</v>
      </c>
      <c r="D154">
        <v>1.1499999999999999</v>
      </c>
      <c r="E154">
        <v>3</v>
      </c>
      <c r="F154">
        <v>3</v>
      </c>
      <c r="G154">
        <v>2.4929999999999999</v>
      </c>
      <c r="H154">
        <v>0</v>
      </c>
      <c r="I154">
        <v>0</v>
      </c>
      <c r="J154" s="1">
        <v>1</v>
      </c>
      <c r="K154">
        <v>55</v>
      </c>
      <c r="L154">
        <v>1</v>
      </c>
      <c r="M154" s="1">
        <v>3600</v>
      </c>
      <c r="P154">
        <f t="shared" si="8"/>
        <v>0</v>
      </c>
      <c r="Q154" s="7">
        <f t="shared" si="9"/>
        <v>98.181818181818187</v>
      </c>
      <c r="R154" t="str">
        <f t="shared" si="10"/>
        <v/>
      </c>
    </row>
    <row r="155" spans="1:18" x14ac:dyDescent="0.3">
      <c r="A155">
        <v>60</v>
      </c>
      <c r="B155">
        <v>5</v>
      </c>
      <c r="C155" s="1">
        <v>30</v>
      </c>
      <c r="D155">
        <v>1.1499999999999999</v>
      </c>
      <c r="E155">
        <v>3</v>
      </c>
      <c r="F155">
        <v>3</v>
      </c>
      <c r="G155">
        <v>2.2650000000000001</v>
      </c>
      <c r="H155">
        <v>0</v>
      </c>
      <c r="I155">
        <v>0</v>
      </c>
      <c r="J155" s="1">
        <v>1</v>
      </c>
      <c r="K155">
        <v>55</v>
      </c>
      <c r="L155">
        <v>0</v>
      </c>
      <c r="M155" s="1">
        <v>3600</v>
      </c>
      <c r="P155">
        <f t="shared" si="8"/>
        <v>0</v>
      </c>
      <c r="Q155" s="7">
        <f t="shared" si="9"/>
        <v>100</v>
      </c>
      <c r="R155" t="str">
        <f t="shared" si="10"/>
        <v/>
      </c>
    </row>
    <row r="156" spans="1:18" x14ac:dyDescent="0.3">
      <c r="A156">
        <v>60</v>
      </c>
      <c r="B156">
        <v>5</v>
      </c>
      <c r="C156" s="1">
        <v>40</v>
      </c>
      <c r="D156">
        <v>1.1499999999999999</v>
      </c>
      <c r="E156">
        <v>3</v>
      </c>
      <c r="F156">
        <v>3</v>
      </c>
      <c r="G156">
        <v>2.085</v>
      </c>
      <c r="H156">
        <v>0</v>
      </c>
      <c r="I156">
        <v>0</v>
      </c>
      <c r="J156" s="1">
        <v>1</v>
      </c>
      <c r="K156">
        <v>55</v>
      </c>
      <c r="L156">
        <v>0</v>
      </c>
      <c r="M156" s="1">
        <v>3600</v>
      </c>
      <c r="P156">
        <f t="shared" si="8"/>
        <v>0</v>
      </c>
      <c r="Q156" s="7">
        <f t="shared" si="9"/>
        <v>100</v>
      </c>
      <c r="R156" t="str">
        <f t="shared" si="10"/>
        <v/>
      </c>
    </row>
    <row r="157" spans="1:18" x14ac:dyDescent="0.3">
      <c r="A157">
        <v>60</v>
      </c>
      <c r="B157">
        <v>5</v>
      </c>
      <c r="C157" s="1">
        <v>50</v>
      </c>
      <c r="D157">
        <v>1.1499999999999999</v>
      </c>
      <c r="E157">
        <v>3</v>
      </c>
      <c r="F157">
        <v>3</v>
      </c>
      <c r="G157">
        <v>1.788</v>
      </c>
      <c r="H157">
        <v>0</v>
      </c>
      <c r="I157">
        <v>0</v>
      </c>
      <c r="J157" s="1">
        <v>1</v>
      </c>
      <c r="K157">
        <v>55</v>
      </c>
      <c r="L157">
        <v>1</v>
      </c>
      <c r="M157" s="1">
        <v>3600</v>
      </c>
      <c r="P157">
        <f t="shared" si="8"/>
        <v>0</v>
      </c>
      <c r="Q157" s="7">
        <f t="shared" si="9"/>
        <v>98.181818181818187</v>
      </c>
      <c r="R157" t="str">
        <f t="shared" si="10"/>
        <v/>
      </c>
    </row>
    <row r="158" spans="1:18" x14ac:dyDescent="0.3">
      <c r="A158">
        <v>60</v>
      </c>
      <c r="B158">
        <v>5</v>
      </c>
      <c r="C158" s="1">
        <v>60</v>
      </c>
      <c r="D158">
        <v>1.1499999999999999</v>
      </c>
      <c r="E158">
        <v>3</v>
      </c>
      <c r="F158">
        <v>3</v>
      </c>
      <c r="G158">
        <v>2.012</v>
      </c>
      <c r="H158">
        <v>0</v>
      </c>
      <c r="I158">
        <v>0</v>
      </c>
      <c r="J158" s="1">
        <v>1</v>
      </c>
      <c r="K158">
        <v>55</v>
      </c>
      <c r="L158">
        <v>1</v>
      </c>
      <c r="M158" s="1">
        <v>3600</v>
      </c>
      <c r="P158">
        <f t="shared" si="8"/>
        <v>0</v>
      </c>
      <c r="Q158" s="7">
        <f t="shared" si="9"/>
        <v>98.181818181818187</v>
      </c>
      <c r="R158" t="str">
        <f t="shared" si="10"/>
        <v/>
      </c>
    </row>
    <row r="159" spans="1:18" x14ac:dyDescent="0.3">
      <c r="A159">
        <v>60</v>
      </c>
      <c r="B159">
        <v>5</v>
      </c>
      <c r="C159" s="1">
        <v>70</v>
      </c>
      <c r="D159">
        <v>1.1499999999999999</v>
      </c>
      <c r="E159">
        <v>3</v>
      </c>
      <c r="F159">
        <v>3</v>
      </c>
      <c r="G159">
        <v>2.4790000000000001</v>
      </c>
      <c r="H159">
        <v>0</v>
      </c>
      <c r="I159">
        <v>0</v>
      </c>
      <c r="J159" s="1">
        <v>1</v>
      </c>
      <c r="K159">
        <v>55</v>
      </c>
      <c r="L159">
        <v>1</v>
      </c>
      <c r="M159" s="1">
        <v>3600</v>
      </c>
      <c r="P159">
        <f t="shared" si="8"/>
        <v>0</v>
      </c>
      <c r="Q159" s="7">
        <f t="shared" si="9"/>
        <v>98.181818181818187</v>
      </c>
      <c r="R159" t="str">
        <f t="shared" si="10"/>
        <v/>
      </c>
    </row>
    <row r="160" spans="1:18" x14ac:dyDescent="0.3">
      <c r="A160">
        <v>60</v>
      </c>
      <c r="B160">
        <v>5</v>
      </c>
      <c r="C160" s="1">
        <v>80</v>
      </c>
      <c r="D160">
        <v>1.1499999999999999</v>
      </c>
      <c r="E160">
        <v>3</v>
      </c>
      <c r="F160">
        <v>3</v>
      </c>
      <c r="G160">
        <v>2.2589999999999999</v>
      </c>
      <c r="H160">
        <v>0</v>
      </c>
      <c r="I160">
        <v>0</v>
      </c>
      <c r="J160" s="1">
        <v>1</v>
      </c>
      <c r="K160">
        <v>55</v>
      </c>
      <c r="L160">
        <v>0</v>
      </c>
      <c r="M160" s="1">
        <v>3600</v>
      </c>
      <c r="P160">
        <f t="shared" si="8"/>
        <v>0</v>
      </c>
      <c r="Q160" s="7">
        <f t="shared" si="9"/>
        <v>100</v>
      </c>
      <c r="R160" t="str">
        <f t="shared" si="10"/>
        <v/>
      </c>
    </row>
    <row r="161" spans="1:18" x14ac:dyDescent="0.3">
      <c r="A161">
        <v>60</v>
      </c>
      <c r="B161">
        <v>5</v>
      </c>
      <c r="C161" s="1">
        <v>90</v>
      </c>
      <c r="D161">
        <v>1.1499999999999999</v>
      </c>
      <c r="E161">
        <v>3</v>
      </c>
      <c r="F161">
        <v>3</v>
      </c>
      <c r="G161">
        <v>2.0089999999999999</v>
      </c>
      <c r="H161">
        <v>0</v>
      </c>
      <c r="I161">
        <v>0</v>
      </c>
      <c r="J161" s="1">
        <v>1</v>
      </c>
      <c r="K161">
        <v>55</v>
      </c>
      <c r="L161">
        <v>0</v>
      </c>
      <c r="M161" s="1">
        <v>3600</v>
      </c>
      <c r="P161">
        <f t="shared" si="8"/>
        <v>0</v>
      </c>
      <c r="Q161" s="7">
        <f t="shared" si="9"/>
        <v>100</v>
      </c>
      <c r="R161" t="str">
        <f t="shared" si="10"/>
        <v/>
      </c>
    </row>
    <row r="162" spans="1:18" s="2" customFormat="1" x14ac:dyDescent="0.3">
      <c r="A162" s="2">
        <v>60</v>
      </c>
      <c r="B162" s="2">
        <v>5</v>
      </c>
      <c r="C162" s="3">
        <v>100</v>
      </c>
      <c r="D162" s="2">
        <v>1.1499999999999999</v>
      </c>
      <c r="E162" s="2">
        <v>3</v>
      </c>
      <c r="F162" s="2">
        <v>3</v>
      </c>
      <c r="G162" s="2">
        <v>2.097</v>
      </c>
      <c r="H162" s="2">
        <v>0</v>
      </c>
      <c r="I162" s="2">
        <v>0</v>
      </c>
      <c r="J162" s="3">
        <v>1</v>
      </c>
      <c r="K162" s="2">
        <v>55</v>
      </c>
      <c r="L162" s="2">
        <v>1</v>
      </c>
      <c r="M162" s="3">
        <v>3600</v>
      </c>
      <c r="N162" s="5">
        <f t="shared" si="11"/>
        <v>2.1365000000000003</v>
      </c>
      <c r="O162" s="19">
        <f>AVERAGE(M153:M162)</f>
        <v>3600</v>
      </c>
      <c r="P162" s="2">
        <f t="shared" si="8"/>
        <v>0</v>
      </c>
      <c r="Q162" s="8">
        <f t="shared" si="9"/>
        <v>98.181818181818187</v>
      </c>
      <c r="R162" s="2" t="str">
        <f t="shared" si="10"/>
        <v/>
      </c>
    </row>
    <row r="163" spans="1:18" x14ac:dyDescent="0.3">
      <c r="A163">
        <v>70</v>
      </c>
      <c r="B163">
        <v>2</v>
      </c>
      <c r="C163" s="1">
        <v>10</v>
      </c>
      <c r="D163">
        <v>1.1499999999999999</v>
      </c>
      <c r="E163">
        <v>7</v>
      </c>
      <c r="F163">
        <v>7</v>
      </c>
      <c r="G163">
        <v>12.967000000000001</v>
      </c>
      <c r="H163">
        <v>0</v>
      </c>
      <c r="I163">
        <v>0</v>
      </c>
      <c r="J163" s="1">
        <v>1</v>
      </c>
      <c r="K163">
        <v>7</v>
      </c>
      <c r="L163">
        <v>2</v>
      </c>
      <c r="M163" s="1">
        <v>3600</v>
      </c>
      <c r="P163">
        <f t="shared" si="8"/>
        <v>0</v>
      </c>
      <c r="Q163" s="7">
        <f t="shared" si="9"/>
        <v>71.428571428571431</v>
      </c>
      <c r="R163" t="str">
        <f t="shared" si="10"/>
        <v/>
      </c>
    </row>
    <row r="164" spans="1:18" x14ac:dyDescent="0.3">
      <c r="A164">
        <v>70</v>
      </c>
      <c r="B164">
        <v>2</v>
      </c>
      <c r="C164" s="1">
        <v>20</v>
      </c>
      <c r="D164">
        <v>1.1499999999999999</v>
      </c>
      <c r="E164">
        <v>7</v>
      </c>
      <c r="F164">
        <v>7</v>
      </c>
      <c r="G164">
        <v>12.205</v>
      </c>
      <c r="H164">
        <v>0</v>
      </c>
      <c r="I164">
        <v>0</v>
      </c>
      <c r="J164" s="1">
        <v>1</v>
      </c>
      <c r="K164">
        <v>7</v>
      </c>
      <c r="L164">
        <v>2</v>
      </c>
      <c r="M164" s="1">
        <v>3600</v>
      </c>
      <c r="P164">
        <f t="shared" si="8"/>
        <v>0</v>
      </c>
      <c r="Q164" s="7">
        <f t="shared" si="9"/>
        <v>71.428571428571431</v>
      </c>
      <c r="R164" t="str">
        <f t="shared" si="10"/>
        <v/>
      </c>
    </row>
    <row r="165" spans="1:18" x14ac:dyDescent="0.3">
      <c r="A165">
        <v>70</v>
      </c>
      <c r="B165">
        <v>2</v>
      </c>
      <c r="C165" s="1">
        <v>30</v>
      </c>
      <c r="D165">
        <v>1.1499999999999999</v>
      </c>
      <c r="E165">
        <v>7</v>
      </c>
      <c r="F165">
        <v>7</v>
      </c>
      <c r="G165">
        <v>12.992000000000001</v>
      </c>
      <c r="H165">
        <v>0</v>
      </c>
      <c r="I165">
        <v>0</v>
      </c>
      <c r="J165" s="1">
        <v>1</v>
      </c>
      <c r="K165">
        <v>7</v>
      </c>
      <c r="L165">
        <v>2</v>
      </c>
      <c r="M165" s="1">
        <v>3600</v>
      </c>
      <c r="P165">
        <f t="shared" si="8"/>
        <v>0</v>
      </c>
      <c r="Q165" s="7">
        <f t="shared" si="9"/>
        <v>71.428571428571431</v>
      </c>
      <c r="R165" t="str">
        <f t="shared" si="10"/>
        <v/>
      </c>
    </row>
    <row r="166" spans="1:18" x14ac:dyDescent="0.3">
      <c r="A166">
        <v>70</v>
      </c>
      <c r="B166">
        <v>2</v>
      </c>
      <c r="C166" s="1">
        <v>40</v>
      </c>
      <c r="D166">
        <v>1.1499999999999999</v>
      </c>
      <c r="E166">
        <v>7</v>
      </c>
      <c r="F166">
        <v>7</v>
      </c>
      <c r="G166">
        <v>11.515000000000001</v>
      </c>
      <c r="H166">
        <v>0</v>
      </c>
      <c r="I166">
        <v>0</v>
      </c>
      <c r="J166" s="1">
        <v>1</v>
      </c>
      <c r="K166">
        <v>7</v>
      </c>
      <c r="L166">
        <v>2</v>
      </c>
      <c r="M166" s="1">
        <v>3600</v>
      </c>
      <c r="P166">
        <f t="shared" si="8"/>
        <v>0</v>
      </c>
      <c r="Q166" s="7">
        <f t="shared" si="9"/>
        <v>71.428571428571431</v>
      </c>
      <c r="R166" t="str">
        <f t="shared" si="10"/>
        <v/>
      </c>
    </row>
    <row r="167" spans="1:18" x14ac:dyDescent="0.3">
      <c r="A167">
        <v>70</v>
      </c>
      <c r="B167">
        <v>2</v>
      </c>
      <c r="C167" s="1">
        <v>50</v>
      </c>
      <c r="D167">
        <v>1.1499999999999999</v>
      </c>
      <c r="E167">
        <v>7</v>
      </c>
      <c r="F167">
        <v>7</v>
      </c>
      <c r="G167">
        <v>11.663</v>
      </c>
      <c r="H167">
        <v>0</v>
      </c>
      <c r="I167">
        <v>0</v>
      </c>
      <c r="J167" s="1">
        <v>1</v>
      </c>
      <c r="K167">
        <v>9</v>
      </c>
      <c r="L167">
        <v>2</v>
      </c>
      <c r="M167" s="1">
        <v>3600</v>
      </c>
      <c r="P167">
        <f t="shared" si="8"/>
        <v>0</v>
      </c>
      <c r="Q167" s="7">
        <f t="shared" si="9"/>
        <v>77.777777777777786</v>
      </c>
      <c r="R167" t="str">
        <f t="shared" si="10"/>
        <v/>
      </c>
    </row>
    <row r="168" spans="1:18" x14ac:dyDescent="0.3">
      <c r="A168">
        <v>70</v>
      </c>
      <c r="B168">
        <v>2</v>
      </c>
      <c r="C168" s="1">
        <v>60</v>
      </c>
      <c r="D168">
        <v>1.1499999999999999</v>
      </c>
      <c r="E168">
        <v>7</v>
      </c>
      <c r="F168">
        <v>7</v>
      </c>
      <c r="G168">
        <v>195.994</v>
      </c>
      <c r="H168">
        <v>0</v>
      </c>
      <c r="I168">
        <v>0</v>
      </c>
      <c r="J168" s="1">
        <v>2</v>
      </c>
      <c r="K168">
        <v>8</v>
      </c>
      <c r="L168">
        <v>2</v>
      </c>
      <c r="M168" s="1">
        <v>3600</v>
      </c>
      <c r="P168">
        <f t="shared" si="8"/>
        <v>0</v>
      </c>
      <c r="Q168" s="7">
        <f t="shared" si="9"/>
        <v>75</v>
      </c>
      <c r="R168" t="str">
        <f t="shared" si="10"/>
        <v/>
      </c>
    </row>
    <row r="169" spans="1:18" x14ac:dyDescent="0.3">
      <c r="A169">
        <v>70</v>
      </c>
      <c r="B169">
        <v>2</v>
      </c>
      <c r="C169" s="1">
        <v>70</v>
      </c>
      <c r="D169">
        <v>1.1499999999999999</v>
      </c>
      <c r="E169">
        <v>7</v>
      </c>
      <c r="F169">
        <v>7</v>
      </c>
      <c r="G169">
        <v>13.776999999999999</v>
      </c>
      <c r="H169">
        <v>0</v>
      </c>
      <c r="I169">
        <v>0</v>
      </c>
      <c r="J169" s="1">
        <v>1</v>
      </c>
      <c r="K169">
        <v>7</v>
      </c>
      <c r="L169">
        <v>2</v>
      </c>
      <c r="M169" s="1">
        <v>3600</v>
      </c>
      <c r="P169">
        <f t="shared" si="8"/>
        <v>0</v>
      </c>
      <c r="Q169" s="7">
        <f t="shared" si="9"/>
        <v>71.428571428571431</v>
      </c>
      <c r="R169" t="str">
        <f t="shared" si="10"/>
        <v/>
      </c>
    </row>
    <row r="170" spans="1:18" x14ac:dyDescent="0.3">
      <c r="A170">
        <v>70</v>
      </c>
      <c r="B170">
        <v>2</v>
      </c>
      <c r="C170" s="1">
        <v>80</v>
      </c>
      <c r="D170">
        <v>1.1499999999999999</v>
      </c>
      <c r="E170">
        <v>7</v>
      </c>
      <c r="F170">
        <v>7</v>
      </c>
      <c r="G170">
        <v>10.93</v>
      </c>
      <c r="H170">
        <v>0</v>
      </c>
      <c r="I170">
        <v>0</v>
      </c>
      <c r="J170" s="1">
        <v>1</v>
      </c>
      <c r="K170">
        <v>7</v>
      </c>
      <c r="L170">
        <v>2</v>
      </c>
      <c r="M170" s="1">
        <v>3600</v>
      </c>
      <c r="P170">
        <f t="shared" si="8"/>
        <v>0</v>
      </c>
      <c r="Q170" s="7">
        <f t="shared" si="9"/>
        <v>71.428571428571431</v>
      </c>
      <c r="R170" t="str">
        <f t="shared" si="10"/>
        <v/>
      </c>
    </row>
    <row r="171" spans="1:18" x14ac:dyDescent="0.3">
      <c r="A171">
        <v>70</v>
      </c>
      <c r="B171">
        <v>2</v>
      </c>
      <c r="C171" s="1">
        <v>90</v>
      </c>
      <c r="D171">
        <v>1.1499999999999999</v>
      </c>
      <c r="E171">
        <v>7</v>
      </c>
      <c r="F171">
        <v>7</v>
      </c>
      <c r="G171">
        <v>11.57</v>
      </c>
      <c r="H171">
        <v>0</v>
      </c>
      <c r="I171">
        <v>0</v>
      </c>
      <c r="J171" s="1">
        <v>1</v>
      </c>
      <c r="K171">
        <v>8</v>
      </c>
      <c r="L171">
        <v>2</v>
      </c>
      <c r="M171" s="1">
        <v>3600</v>
      </c>
      <c r="P171">
        <f t="shared" si="8"/>
        <v>0</v>
      </c>
      <c r="Q171" s="7">
        <f t="shared" si="9"/>
        <v>75</v>
      </c>
      <c r="R171" t="str">
        <f t="shared" si="10"/>
        <v/>
      </c>
    </row>
    <row r="172" spans="1:18" s="2" customFormat="1" x14ac:dyDescent="0.3">
      <c r="A172" s="2">
        <v>70</v>
      </c>
      <c r="B172" s="2">
        <v>2</v>
      </c>
      <c r="C172" s="3">
        <v>100</v>
      </c>
      <c r="D172" s="2">
        <v>1.1499999999999999</v>
      </c>
      <c r="E172" s="2">
        <v>7</v>
      </c>
      <c r="F172" s="2">
        <v>7</v>
      </c>
      <c r="G172" s="2">
        <v>11.037000000000001</v>
      </c>
      <c r="H172" s="2">
        <v>0</v>
      </c>
      <c r="I172" s="2">
        <v>0</v>
      </c>
      <c r="J172" s="3">
        <v>1</v>
      </c>
      <c r="K172" s="2">
        <v>7</v>
      </c>
      <c r="L172" s="2">
        <v>2</v>
      </c>
      <c r="M172" s="3">
        <v>3600</v>
      </c>
      <c r="N172" s="5">
        <f t="shared" si="11"/>
        <v>30.464999999999996</v>
      </c>
      <c r="O172" s="19">
        <f>AVERAGE(M163:M172)</f>
        <v>3600</v>
      </c>
      <c r="P172" s="2">
        <f t="shared" si="8"/>
        <v>0</v>
      </c>
      <c r="Q172" s="8">
        <f t="shared" si="9"/>
        <v>71.428571428571431</v>
      </c>
      <c r="R172" s="2" t="str">
        <f t="shared" si="10"/>
        <v/>
      </c>
    </row>
    <row r="173" spans="1:18" x14ac:dyDescent="0.3">
      <c r="A173">
        <v>70</v>
      </c>
      <c r="B173">
        <v>3</v>
      </c>
      <c r="C173" s="1">
        <v>10</v>
      </c>
      <c r="D173">
        <v>1.1499999999999999</v>
      </c>
      <c r="E173">
        <v>6</v>
      </c>
      <c r="F173">
        <v>6</v>
      </c>
      <c r="G173">
        <v>14.673</v>
      </c>
      <c r="H173">
        <v>0</v>
      </c>
      <c r="I173">
        <v>0</v>
      </c>
      <c r="J173" s="1">
        <v>1</v>
      </c>
      <c r="K173">
        <v>67</v>
      </c>
      <c r="L173">
        <v>1</v>
      </c>
      <c r="M173" s="1">
        <v>3600</v>
      </c>
      <c r="P173">
        <f t="shared" si="8"/>
        <v>0</v>
      </c>
      <c r="Q173" s="7">
        <f t="shared" si="9"/>
        <v>98.507462686567166</v>
      </c>
      <c r="R173" t="str">
        <f t="shared" si="10"/>
        <v/>
      </c>
    </row>
    <row r="174" spans="1:18" x14ac:dyDescent="0.3">
      <c r="A174">
        <v>70</v>
      </c>
      <c r="B174">
        <v>3</v>
      </c>
      <c r="C174" s="1">
        <v>20</v>
      </c>
      <c r="D174">
        <v>1.1499999999999999</v>
      </c>
      <c r="E174">
        <v>6</v>
      </c>
      <c r="F174">
        <v>6</v>
      </c>
      <c r="G174">
        <v>14.185</v>
      </c>
      <c r="H174">
        <v>0</v>
      </c>
      <c r="I174">
        <v>0</v>
      </c>
      <c r="J174" s="1">
        <v>1</v>
      </c>
      <c r="K174">
        <v>6</v>
      </c>
      <c r="L174">
        <v>1</v>
      </c>
      <c r="M174" s="1">
        <v>3600</v>
      </c>
      <c r="P174">
        <f t="shared" si="8"/>
        <v>0</v>
      </c>
      <c r="Q174" s="7">
        <f t="shared" si="9"/>
        <v>83.333333333333343</v>
      </c>
      <c r="R174" t="str">
        <f t="shared" si="10"/>
        <v/>
      </c>
    </row>
    <row r="175" spans="1:18" x14ac:dyDescent="0.3">
      <c r="A175">
        <v>70</v>
      </c>
      <c r="B175">
        <v>3</v>
      </c>
      <c r="C175" s="1">
        <v>30</v>
      </c>
      <c r="D175">
        <v>1.1499999999999999</v>
      </c>
      <c r="E175">
        <v>6</v>
      </c>
      <c r="F175">
        <v>6</v>
      </c>
      <c r="G175">
        <v>17.216000000000001</v>
      </c>
      <c r="H175">
        <v>0</v>
      </c>
      <c r="I175">
        <v>0</v>
      </c>
      <c r="J175" s="1">
        <v>1</v>
      </c>
      <c r="K175">
        <v>6</v>
      </c>
      <c r="L175">
        <v>1</v>
      </c>
      <c r="M175" s="1">
        <v>3600</v>
      </c>
      <c r="P175">
        <f t="shared" si="8"/>
        <v>0</v>
      </c>
      <c r="Q175" s="7">
        <f t="shared" si="9"/>
        <v>83.333333333333343</v>
      </c>
      <c r="R175" t="str">
        <f t="shared" si="10"/>
        <v/>
      </c>
    </row>
    <row r="176" spans="1:18" x14ac:dyDescent="0.3">
      <c r="A176">
        <v>70</v>
      </c>
      <c r="B176">
        <v>3</v>
      </c>
      <c r="C176" s="1">
        <v>40</v>
      </c>
      <c r="D176">
        <v>1.1499999999999999</v>
      </c>
      <c r="E176">
        <v>6</v>
      </c>
      <c r="F176">
        <v>6</v>
      </c>
      <c r="G176">
        <v>9.3420000000000005</v>
      </c>
      <c r="H176">
        <v>0</v>
      </c>
      <c r="I176">
        <v>0</v>
      </c>
      <c r="J176" s="1">
        <v>1</v>
      </c>
      <c r="K176">
        <v>7</v>
      </c>
      <c r="L176">
        <v>1</v>
      </c>
      <c r="M176" s="1">
        <v>3600</v>
      </c>
      <c r="P176">
        <f t="shared" si="8"/>
        <v>0</v>
      </c>
      <c r="Q176" s="7">
        <f t="shared" si="9"/>
        <v>85.714285714285708</v>
      </c>
      <c r="R176" t="str">
        <f t="shared" si="10"/>
        <v/>
      </c>
    </row>
    <row r="177" spans="1:18" x14ac:dyDescent="0.3">
      <c r="A177">
        <v>70</v>
      </c>
      <c r="B177">
        <v>3</v>
      </c>
      <c r="C177" s="1">
        <v>50</v>
      </c>
      <c r="D177">
        <v>1.1499999999999999</v>
      </c>
      <c r="E177">
        <v>6</v>
      </c>
      <c r="F177">
        <v>6</v>
      </c>
      <c r="G177">
        <v>7.75</v>
      </c>
      <c r="H177">
        <v>0</v>
      </c>
      <c r="I177">
        <v>0</v>
      </c>
      <c r="J177" s="1">
        <v>1</v>
      </c>
      <c r="K177">
        <v>67</v>
      </c>
      <c r="L177">
        <v>1</v>
      </c>
      <c r="M177" s="1">
        <v>3600</v>
      </c>
      <c r="P177">
        <f t="shared" si="8"/>
        <v>0</v>
      </c>
      <c r="Q177" s="7">
        <f t="shared" si="9"/>
        <v>98.507462686567166</v>
      </c>
      <c r="R177" t="str">
        <f t="shared" si="10"/>
        <v/>
      </c>
    </row>
    <row r="178" spans="1:18" x14ac:dyDescent="0.3">
      <c r="A178">
        <v>70</v>
      </c>
      <c r="B178">
        <v>3</v>
      </c>
      <c r="C178" s="1">
        <v>60</v>
      </c>
      <c r="D178">
        <v>1.1499999999999999</v>
      </c>
      <c r="E178">
        <v>6</v>
      </c>
      <c r="F178">
        <v>6</v>
      </c>
      <c r="G178">
        <v>16.158000000000001</v>
      </c>
      <c r="H178">
        <v>0</v>
      </c>
      <c r="I178">
        <v>0</v>
      </c>
      <c r="J178" s="1">
        <v>1</v>
      </c>
      <c r="K178">
        <v>7</v>
      </c>
      <c r="L178">
        <v>1</v>
      </c>
      <c r="M178" s="1">
        <v>3600</v>
      </c>
      <c r="P178">
        <f t="shared" si="8"/>
        <v>0</v>
      </c>
      <c r="Q178" s="7">
        <f t="shared" si="9"/>
        <v>85.714285714285708</v>
      </c>
      <c r="R178" t="str">
        <f t="shared" si="10"/>
        <v/>
      </c>
    </row>
    <row r="179" spans="1:18" x14ac:dyDescent="0.3">
      <c r="A179">
        <v>70</v>
      </c>
      <c r="B179">
        <v>3</v>
      </c>
      <c r="C179" s="1">
        <v>70</v>
      </c>
      <c r="D179">
        <v>1.1499999999999999</v>
      </c>
      <c r="E179">
        <v>6</v>
      </c>
      <c r="F179">
        <v>6</v>
      </c>
      <c r="G179">
        <v>15.833</v>
      </c>
      <c r="H179">
        <v>0</v>
      </c>
      <c r="I179">
        <v>0</v>
      </c>
      <c r="J179" s="1">
        <v>1</v>
      </c>
      <c r="K179">
        <v>6</v>
      </c>
      <c r="L179">
        <v>1</v>
      </c>
      <c r="M179" s="1">
        <v>3600</v>
      </c>
      <c r="P179">
        <f t="shared" si="8"/>
        <v>0</v>
      </c>
      <c r="Q179" s="7">
        <f t="shared" si="9"/>
        <v>83.333333333333343</v>
      </c>
      <c r="R179" t="str">
        <f t="shared" si="10"/>
        <v/>
      </c>
    </row>
    <row r="180" spans="1:18" x14ac:dyDescent="0.3">
      <c r="A180">
        <v>70</v>
      </c>
      <c r="B180">
        <v>3</v>
      </c>
      <c r="C180" s="1">
        <v>80</v>
      </c>
      <c r="D180">
        <v>1.1499999999999999</v>
      </c>
      <c r="E180">
        <v>6</v>
      </c>
      <c r="F180">
        <v>6</v>
      </c>
      <c r="G180">
        <v>9.0500000000000007</v>
      </c>
      <c r="H180">
        <v>0</v>
      </c>
      <c r="I180">
        <v>0</v>
      </c>
      <c r="J180" s="1">
        <v>1</v>
      </c>
      <c r="K180">
        <v>7</v>
      </c>
      <c r="L180">
        <v>1</v>
      </c>
      <c r="M180" s="1">
        <v>3600</v>
      </c>
      <c r="P180">
        <f t="shared" si="8"/>
        <v>0</v>
      </c>
      <c r="Q180" s="7">
        <f t="shared" si="9"/>
        <v>85.714285714285708</v>
      </c>
      <c r="R180" t="str">
        <f t="shared" si="10"/>
        <v/>
      </c>
    </row>
    <row r="181" spans="1:18" x14ac:dyDescent="0.3">
      <c r="A181">
        <v>70</v>
      </c>
      <c r="B181">
        <v>3</v>
      </c>
      <c r="C181" s="1">
        <v>90</v>
      </c>
      <c r="D181">
        <v>1.1499999999999999</v>
      </c>
      <c r="E181">
        <v>6</v>
      </c>
      <c r="F181">
        <v>6</v>
      </c>
      <c r="G181">
        <v>9.2859999999999996</v>
      </c>
      <c r="H181">
        <v>0</v>
      </c>
      <c r="I181">
        <v>0</v>
      </c>
      <c r="J181" s="1">
        <v>1</v>
      </c>
      <c r="K181">
        <v>6</v>
      </c>
      <c r="L181">
        <v>1</v>
      </c>
      <c r="M181" s="1">
        <v>3600</v>
      </c>
      <c r="P181">
        <f t="shared" si="8"/>
        <v>0</v>
      </c>
      <c r="Q181" s="7">
        <f t="shared" si="9"/>
        <v>83.333333333333343</v>
      </c>
      <c r="R181" t="str">
        <f t="shared" si="10"/>
        <v/>
      </c>
    </row>
    <row r="182" spans="1:18" s="2" customFormat="1" x14ac:dyDescent="0.3">
      <c r="A182" s="2">
        <v>70</v>
      </c>
      <c r="B182" s="2">
        <v>3</v>
      </c>
      <c r="C182" s="3">
        <v>100</v>
      </c>
      <c r="D182" s="2">
        <v>1.1499999999999999</v>
      </c>
      <c r="E182" s="2">
        <v>6</v>
      </c>
      <c r="F182" s="2">
        <v>6</v>
      </c>
      <c r="G182" s="2">
        <v>13.734999999999999</v>
      </c>
      <c r="H182" s="2">
        <v>0</v>
      </c>
      <c r="I182" s="2">
        <v>0</v>
      </c>
      <c r="J182" s="3">
        <v>1</v>
      </c>
      <c r="K182" s="2">
        <v>6</v>
      </c>
      <c r="L182" s="2">
        <v>1</v>
      </c>
      <c r="M182" s="3">
        <v>3600</v>
      </c>
      <c r="N182" s="5">
        <f t="shared" si="11"/>
        <v>12.722799999999999</v>
      </c>
      <c r="O182" s="19">
        <f>AVERAGE(M173:M182)</f>
        <v>3600</v>
      </c>
      <c r="P182" s="2">
        <f t="shared" si="8"/>
        <v>0</v>
      </c>
      <c r="Q182" s="8">
        <f t="shared" si="9"/>
        <v>83.333333333333343</v>
      </c>
      <c r="R182" s="2" t="str">
        <f t="shared" si="10"/>
        <v/>
      </c>
    </row>
    <row r="183" spans="1:18" x14ac:dyDescent="0.3">
      <c r="A183">
        <v>70</v>
      </c>
      <c r="B183">
        <v>4</v>
      </c>
      <c r="C183" s="1">
        <v>10</v>
      </c>
      <c r="D183">
        <v>1.1499999999999999</v>
      </c>
      <c r="E183">
        <v>5</v>
      </c>
      <c r="F183">
        <v>5</v>
      </c>
      <c r="G183">
        <v>5.9489999999999998</v>
      </c>
      <c r="H183">
        <v>0</v>
      </c>
      <c r="I183">
        <v>0</v>
      </c>
      <c r="J183" s="1">
        <v>1</v>
      </c>
      <c r="K183">
        <v>66</v>
      </c>
      <c r="L183">
        <v>1</v>
      </c>
      <c r="M183" s="1">
        <v>3600</v>
      </c>
      <c r="P183">
        <f t="shared" si="8"/>
        <v>0</v>
      </c>
      <c r="Q183" s="7">
        <f t="shared" si="9"/>
        <v>98.484848484848484</v>
      </c>
      <c r="R183" t="str">
        <f t="shared" si="10"/>
        <v/>
      </c>
    </row>
    <row r="184" spans="1:18" x14ac:dyDescent="0.3">
      <c r="A184">
        <v>70</v>
      </c>
      <c r="B184">
        <v>4</v>
      </c>
      <c r="C184" s="1">
        <v>20</v>
      </c>
      <c r="D184">
        <v>1.1499999999999999</v>
      </c>
      <c r="E184">
        <v>5</v>
      </c>
      <c r="F184">
        <v>5</v>
      </c>
      <c r="G184">
        <v>5.78</v>
      </c>
      <c r="H184">
        <v>0</v>
      </c>
      <c r="I184">
        <v>0</v>
      </c>
      <c r="J184" s="1">
        <v>1</v>
      </c>
      <c r="K184">
        <v>66</v>
      </c>
      <c r="L184">
        <v>1</v>
      </c>
      <c r="M184" s="1">
        <v>3600</v>
      </c>
      <c r="P184">
        <f t="shared" si="8"/>
        <v>0</v>
      </c>
      <c r="Q184" s="7">
        <f t="shared" si="9"/>
        <v>98.484848484848484</v>
      </c>
      <c r="R184" t="str">
        <f t="shared" si="10"/>
        <v/>
      </c>
    </row>
    <row r="185" spans="1:18" x14ac:dyDescent="0.3">
      <c r="A185">
        <v>70</v>
      </c>
      <c r="B185">
        <v>4</v>
      </c>
      <c r="C185" s="1">
        <v>30</v>
      </c>
      <c r="D185">
        <v>1.1499999999999999</v>
      </c>
      <c r="E185">
        <v>5</v>
      </c>
      <c r="F185">
        <v>5</v>
      </c>
      <c r="G185">
        <v>6.9489999999999998</v>
      </c>
      <c r="H185">
        <v>0</v>
      </c>
      <c r="I185">
        <v>0</v>
      </c>
      <c r="J185" s="1">
        <v>1</v>
      </c>
      <c r="K185">
        <v>66</v>
      </c>
      <c r="L185">
        <v>1</v>
      </c>
      <c r="M185" s="1">
        <v>3600</v>
      </c>
      <c r="P185">
        <f t="shared" si="8"/>
        <v>0</v>
      </c>
      <c r="Q185" s="7">
        <f t="shared" si="9"/>
        <v>98.484848484848484</v>
      </c>
      <c r="R185" t="str">
        <f t="shared" si="10"/>
        <v/>
      </c>
    </row>
    <row r="186" spans="1:18" x14ac:dyDescent="0.3">
      <c r="A186">
        <v>70</v>
      </c>
      <c r="B186">
        <v>4</v>
      </c>
      <c r="C186" s="1">
        <v>40</v>
      </c>
      <c r="D186">
        <v>1.1499999999999999</v>
      </c>
      <c r="E186">
        <v>5</v>
      </c>
      <c r="F186">
        <v>5</v>
      </c>
      <c r="G186">
        <v>5.82</v>
      </c>
      <c r="H186">
        <v>0</v>
      </c>
      <c r="I186">
        <v>0</v>
      </c>
      <c r="J186" s="1">
        <v>1</v>
      </c>
      <c r="K186">
        <v>7</v>
      </c>
      <c r="L186">
        <v>0</v>
      </c>
      <c r="M186" s="1">
        <v>3600</v>
      </c>
      <c r="P186">
        <f t="shared" si="8"/>
        <v>0</v>
      </c>
      <c r="Q186" s="7">
        <f t="shared" si="9"/>
        <v>100</v>
      </c>
      <c r="R186" t="str">
        <f t="shared" si="10"/>
        <v/>
      </c>
    </row>
    <row r="187" spans="1:18" x14ac:dyDescent="0.3">
      <c r="A187">
        <v>70</v>
      </c>
      <c r="B187">
        <v>4</v>
      </c>
      <c r="C187" s="1">
        <v>50</v>
      </c>
      <c r="D187">
        <v>1.1499999999999999</v>
      </c>
      <c r="E187">
        <v>6</v>
      </c>
      <c r="F187">
        <v>6</v>
      </c>
      <c r="G187">
        <v>553.34400000000005</v>
      </c>
      <c r="H187">
        <v>0</v>
      </c>
      <c r="I187">
        <v>0</v>
      </c>
      <c r="J187" s="1">
        <v>5</v>
      </c>
      <c r="K187">
        <v>66</v>
      </c>
      <c r="L187">
        <v>1</v>
      </c>
      <c r="M187" s="1">
        <v>3600</v>
      </c>
      <c r="P187">
        <f t="shared" si="8"/>
        <v>0</v>
      </c>
      <c r="Q187" s="7">
        <f t="shared" si="9"/>
        <v>98.484848484848484</v>
      </c>
      <c r="R187" t="str">
        <f t="shared" si="10"/>
        <v/>
      </c>
    </row>
    <row r="188" spans="1:18" x14ac:dyDescent="0.3">
      <c r="A188">
        <v>70</v>
      </c>
      <c r="B188">
        <v>4</v>
      </c>
      <c r="C188" s="1">
        <v>60</v>
      </c>
      <c r="D188">
        <v>1.1499999999999999</v>
      </c>
      <c r="E188">
        <v>5</v>
      </c>
      <c r="F188">
        <v>5</v>
      </c>
      <c r="G188">
        <v>6.0659999999999998</v>
      </c>
      <c r="H188">
        <v>0</v>
      </c>
      <c r="I188">
        <v>0</v>
      </c>
      <c r="J188" s="1">
        <v>1</v>
      </c>
      <c r="K188">
        <v>66</v>
      </c>
      <c r="L188">
        <v>1</v>
      </c>
      <c r="M188" s="1">
        <v>3600</v>
      </c>
      <c r="P188">
        <f t="shared" si="8"/>
        <v>0</v>
      </c>
      <c r="Q188" s="7">
        <f t="shared" si="9"/>
        <v>98.484848484848484</v>
      </c>
      <c r="R188" t="str">
        <f t="shared" si="10"/>
        <v/>
      </c>
    </row>
    <row r="189" spans="1:18" x14ac:dyDescent="0.3">
      <c r="A189">
        <v>70</v>
      </c>
      <c r="B189">
        <v>4</v>
      </c>
      <c r="C189" s="1">
        <v>70</v>
      </c>
      <c r="D189">
        <v>1.1499999999999999</v>
      </c>
      <c r="E189">
        <v>5</v>
      </c>
      <c r="F189">
        <v>5</v>
      </c>
      <c r="G189">
        <v>7.8250000000000002</v>
      </c>
      <c r="H189">
        <v>0</v>
      </c>
      <c r="I189">
        <v>0</v>
      </c>
      <c r="J189" s="1">
        <v>1</v>
      </c>
      <c r="K189">
        <v>6</v>
      </c>
      <c r="L189">
        <v>0</v>
      </c>
      <c r="M189" s="1">
        <v>3600</v>
      </c>
      <c r="P189">
        <f t="shared" si="8"/>
        <v>0</v>
      </c>
      <c r="Q189" s="7">
        <f t="shared" si="9"/>
        <v>100</v>
      </c>
      <c r="R189" t="str">
        <f t="shared" si="10"/>
        <v/>
      </c>
    </row>
    <row r="190" spans="1:18" x14ac:dyDescent="0.3">
      <c r="A190">
        <v>70</v>
      </c>
      <c r="B190">
        <v>4</v>
      </c>
      <c r="C190" s="1">
        <v>80</v>
      </c>
      <c r="D190">
        <v>1.1499999999999999</v>
      </c>
      <c r="E190">
        <v>5</v>
      </c>
      <c r="F190">
        <v>5</v>
      </c>
      <c r="G190">
        <v>5.85</v>
      </c>
      <c r="H190">
        <v>0</v>
      </c>
      <c r="I190">
        <v>0</v>
      </c>
      <c r="J190" s="1">
        <v>1</v>
      </c>
      <c r="K190">
        <v>66</v>
      </c>
      <c r="L190">
        <v>0</v>
      </c>
      <c r="M190" s="1">
        <v>3600</v>
      </c>
      <c r="P190">
        <f t="shared" si="8"/>
        <v>0</v>
      </c>
      <c r="Q190" s="7">
        <f t="shared" si="9"/>
        <v>100</v>
      </c>
      <c r="R190" t="str">
        <f t="shared" si="10"/>
        <v/>
      </c>
    </row>
    <row r="191" spans="1:18" x14ac:dyDescent="0.3">
      <c r="A191">
        <v>70</v>
      </c>
      <c r="B191">
        <v>4</v>
      </c>
      <c r="C191" s="1">
        <v>90</v>
      </c>
      <c r="D191">
        <v>1.1499999999999999</v>
      </c>
      <c r="E191">
        <v>5</v>
      </c>
      <c r="F191">
        <v>5</v>
      </c>
      <c r="G191">
        <v>5.0670000000000002</v>
      </c>
      <c r="H191">
        <v>0</v>
      </c>
      <c r="I191">
        <v>0</v>
      </c>
      <c r="J191" s="1">
        <v>1</v>
      </c>
      <c r="K191">
        <v>66</v>
      </c>
      <c r="L191">
        <v>1</v>
      </c>
      <c r="M191" s="1">
        <v>3600</v>
      </c>
      <c r="P191">
        <f t="shared" si="8"/>
        <v>0</v>
      </c>
      <c r="Q191" s="7">
        <f t="shared" si="9"/>
        <v>98.484848484848484</v>
      </c>
      <c r="R191" t="str">
        <f t="shared" si="10"/>
        <v/>
      </c>
    </row>
    <row r="192" spans="1:18" s="2" customFormat="1" x14ac:dyDescent="0.3">
      <c r="A192" s="2">
        <v>70</v>
      </c>
      <c r="B192" s="2">
        <v>4</v>
      </c>
      <c r="C192" s="3">
        <v>100</v>
      </c>
      <c r="D192" s="2">
        <v>1.1499999999999999</v>
      </c>
      <c r="E192" s="2">
        <v>5</v>
      </c>
      <c r="F192" s="2">
        <v>5</v>
      </c>
      <c r="G192" s="2">
        <v>5.9429999999999996</v>
      </c>
      <c r="H192" s="2">
        <v>0</v>
      </c>
      <c r="I192" s="2">
        <v>0</v>
      </c>
      <c r="J192" s="3">
        <v>1</v>
      </c>
      <c r="K192" s="2">
        <v>66</v>
      </c>
      <c r="L192" s="2">
        <v>1</v>
      </c>
      <c r="M192" s="3">
        <v>3600</v>
      </c>
      <c r="N192" s="5">
        <f t="shared" si="11"/>
        <v>60.859300000000019</v>
      </c>
      <c r="O192" s="19">
        <f>AVERAGE(M183:M192)</f>
        <v>3600</v>
      </c>
      <c r="P192" s="2">
        <f t="shared" si="8"/>
        <v>0</v>
      </c>
      <c r="Q192" s="8">
        <f t="shared" si="9"/>
        <v>98.484848484848484</v>
      </c>
      <c r="R192" s="2" t="str">
        <f t="shared" si="10"/>
        <v/>
      </c>
    </row>
    <row r="193" spans="1:18" x14ac:dyDescent="0.3">
      <c r="A193">
        <v>70</v>
      </c>
      <c r="B193">
        <v>5</v>
      </c>
      <c r="C193" s="1">
        <v>10</v>
      </c>
      <c r="D193">
        <v>1.1499999999999999</v>
      </c>
      <c r="E193">
        <v>4</v>
      </c>
      <c r="F193">
        <v>4</v>
      </c>
      <c r="G193">
        <v>4.0430000000000001</v>
      </c>
      <c r="H193">
        <v>0</v>
      </c>
      <c r="I193">
        <v>0</v>
      </c>
      <c r="J193" s="1">
        <v>1</v>
      </c>
      <c r="K193">
        <v>65</v>
      </c>
      <c r="L193">
        <v>0</v>
      </c>
      <c r="M193" s="1">
        <v>3600</v>
      </c>
      <c r="P193">
        <f t="shared" si="8"/>
        <v>0</v>
      </c>
      <c r="Q193" s="7">
        <f t="shared" si="9"/>
        <v>100</v>
      </c>
      <c r="R193" t="str">
        <f t="shared" si="10"/>
        <v/>
      </c>
    </row>
    <row r="194" spans="1:18" x14ac:dyDescent="0.3">
      <c r="A194">
        <v>70</v>
      </c>
      <c r="B194">
        <v>5</v>
      </c>
      <c r="C194" s="1">
        <v>20</v>
      </c>
      <c r="D194">
        <v>1.1499999999999999</v>
      </c>
      <c r="E194">
        <v>4</v>
      </c>
      <c r="F194">
        <v>4</v>
      </c>
      <c r="G194">
        <v>3.8809999999999998</v>
      </c>
      <c r="H194">
        <v>0</v>
      </c>
      <c r="I194">
        <v>0</v>
      </c>
      <c r="J194" s="1">
        <v>1</v>
      </c>
      <c r="K194">
        <v>65</v>
      </c>
      <c r="L194">
        <v>0</v>
      </c>
      <c r="M194" s="1">
        <v>3600</v>
      </c>
      <c r="P194">
        <f t="shared" si="8"/>
        <v>0</v>
      </c>
      <c r="Q194" s="7">
        <f t="shared" si="9"/>
        <v>100</v>
      </c>
      <c r="R194" t="str">
        <f t="shared" si="10"/>
        <v/>
      </c>
    </row>
    <row r="195" spans="1:18" x14ac:dyDescent="0.3">
      <c r="A195">
        <v>70</v>
      </c>
      <c r="B195">
        <v>5</v>
      </c>
      <c r="C195" s="1">
        <v>30</v>
      </c>
      <c r="D195">
        <v>1.1499999999999999</v>
      </c>
      <c r="E195">
        <v>4</v>
      </c>
      <c r="F195">
        <v>4</v>
      </c>
      <c r="G195">
        <v>4.266</v>
      </c>
      <c r="H195">
        <v>0</v>
      </c>
      <c r="I195">
        <v>0</v>
      </c>
      <c r="J195" s="1">
        <v>1</v>
      </c>
      <c r="K195">
        <v>65</v>
      </c>
      <c r="L195">
        <v>0</v>
      </c>
      <c r="M195" s="1">
        <v>3600</v>
      </c>
      <c r="P195">
        <f t="shared" si="8"/>
        <v>0</v>
      </c>
      <c r="Q195" s="7">
        <f t="shared" si="9"/>
        <v>100</v>
      </c>
      <c r="R195" t="str">
        <f t="shared" si="10"/>
        <v/>
      </c>
    </row>
    <row r="196" spans="1:18" x14ac:dyDescent="0.3">
      <c r="A196">
        <v>70</v>
      </c>
      <c r="B196">
        <v>5</v>
      </c>
      <c r="C196" s="1">
        <v>40</v>
      </c>
      <c r="D196">
        <v>1.1499999999999999</v>
      </c>
      <c r="E196">
        <v>4</v>
      </c>
      <c r="F196">
        <v>4</v>
      </c>
      <c r="G196">
        <v>4.12</v>
      </c>
      <c r="H196">
        <v>0</v>
      </c>
      <c r="I196">
        <v>0</v>
      </c>
      <c r="J196" s="1">
        <v>1</v>
      </c>
      <c r="K196">
        <v>65</v>
      </c>
      <c r="L196">
        <v>0</v>
      </c>
      <c r="M196" s="1">
        <v>3600</v>
      </c>
      <c r="P196">
        <f t="shared" ref="P196:P242" si="12">IF(ISBLANK(E196),IF(ISBLANK(F196),"",100), IF(E196+F196=0, 0, IF(G196=3600, IF(E196=F196,1,(E196-F196)/E196*100), 0)))</f>
        <v>0</v>
      </c>
      <c r="Q196" s="7">
        <f t="shared" ref="Q196:Q242" si="13">IF(ISBLANK(K196),"",IF(K196+L196=0,0,IF(M196=3600,IF(K196=L196,1,(K196-L196)/K196*100),0)))</f>
        <v>100</v>
      </c>
      <c r="R196" t="str">
        <f t="shared" ref="R196:R242" si="14">IF(OR(AND(P196=0,E196&gt;K196),L196&gt;E196),TRUE,"")</f>
        <v/>
      </c>
    </row>
    <row r="197" spans="1:18" x14ac:dyDescent="0.3">
      <c r="A197">
        <v>70</v>
      </c>
      <c r="B197">
        <v>5</v>
      </c>
      <c r="C197" s="1">
        <v>50</v>
      </c>
      <c r="D197">
        <v>1.1499999999999999</v>
      </c>
      <c r="E197">
        <v>4</v>
      </c>
      <c r="F197">
        <v>4</v>
      </c>
      <c r="G197">
        <v>3.4849999999999999</v>
      </c>
      <c r="H197">
        <v>0</v>
      </c>
      <c r="I197">
        <v>0</v>
      </c>
      <c r="J197" s="1">
        <v>1</v>
      </c>
      <c r="K197">
        <v>65</v>
      </c>
      <c r="L197">
        <v>0</v>
      </c>
      <c r="M197" s="1">
        <v>3600</v>
      </c>
      <c r="P197">
        <f t="shared" si="12"/>
        <v>0</v>
      </c>
      <c r="Q197" s="7">
        <f t="shared" si="13"/>
        <v>100</v>
      </c>
      <c r="R197" t="str">
        <f t="shared" si="14"/>
        <v/>
      </c>
    </row>
    <row r="198" spans="1:18" x14ac:dyDescent="0.3">
      <c r="A198">
        <v>70</v>
      </c>
      <c r="B198">
        <v>5</v>
      </c>
      <c r="C198" s="1">
        <v>60</v>
      </c>
      <c r="D198">
        <v>1.1499999999999999</v>
      </c>
      <c r="E198">
        <v>4</v>
      </c>
      <c r="F198">
        <v>4</v>
      </c>
      <c r="G198">
        <v>4.1779999999999999</v>
      </c>
      <c r="H198">
        <v>0</v>
      </c>
      <c r="I198">
        <v>0</v>
      </c>
      <c r="J198" s="1">
        <v>1</v>
      </c>
      <c r="K198">
        <v>65</v>
      </c>
      <c r="L198">
        <v>0</v>
      </c>
      <c r="M198" s="1">
        <v>3600</v>
      </c>
      <c r="P198">
        <f t="shared" si="12"/>
        <v>0</v>
      </c>
      <c r="Q198" s="7">
        <f t="shared" si="13"/>
        <v>100</v>
      </c>
      <c r="R198" t="str">
        <f t="shared" si="14"/>
        <v/>
      </c>
    </row>
    <row r="199" spans="1:18" x14ac:dyDescent="0.3">
      <c r="A199">
        <v>70</v>
      </c>
      <c r="B199">
        <v>5</v>
      </c>
      <c r="C199" s="1">
        <v>70</v>
      </c>
      <c r="D199">
        <v>1.1499999999999999</v>
      </c>
      <c r="E199">
        <v>4</v>
      </c>
      <c r="F199">
        <v>4</v>
      </c>
      <c r="G199">
        <v>4.3419999999999996</v>
      </c>
      <c r="H199">
        <v>0</v>
      </c>
      <c r="I199">
        <v>0</v>
      </c>
      <c r="J199" s="1">
        <v>1</v>
      </c>
      <c r="K199">
        <v>65</v>
      </c>
      <c r="L199">
        <v>0</v>
      </c>
      <c r="M199" s="1">
        <v>3600</v>
      </c>
      <c r="P199">
        <f t="shared" si="12"/>
        <v>0</v>
      </c>
      <c r="Q199" s="7">
        <f t="shared" si="13"/>
        <v>100</v>
      </c>
      <c r="R199" t="str">
        <f t="shared" si="14"/>
        <v/>
      </c>
    </row>
    <row r="200" spans="1:18" x14ac:dyDescent="0.3">
      <c r="A200">
        <v>70</v>
      </c>
      <c r="B200">
        <v>5</v>
      </c>
      <c r="C200" s="1">
        <v>80</v>
      </c>
      <c r="D200">
        <v>1.1499999999999999</v>
      </c>
      <c r="E200">
        <v>4</v>
      </c>
      <c r="F200">
        <v>4</v>
      </c>
      <c r="G200">
        <v>3.673</v>
      </c>
      <c r="H200">
        <v>0</v>
      </c>
      <c r="I200">
        <v>0</v>
      </c>
      <c r="J200" s="1">
        <v>1</v>
      </c>
      <c r="K200">
        <v>65</v>
      </c>
      <c r="L200">
        <v>0</v>
      </c>
      <c r="M200" s="1">
        <v>3600</v>
      </c>
      <c r="P200">
        <f t="shared" si="12"/>
        <v>0</v>
      </c>
      <c r="Q200" s="7">
        <f t="shared" si="13"/>
        <v>100</v>
      </c>
      <c r="R200" t="str">
        <f t="shared" si="14"/>
        <v/>
      </c>
    </row>
    <row r="201" spans="1:18" x14ac:dyDescent="0.3">
      <c r="A201">
        <v>70</v>
      </c>
      <c r="B201">
        <v>5</v>
      </c>
      <c r="C201" s="1">
        <v>90</v>
      </c>
      <c r="D201">
        <v>1.1499999999999999</v>
      </c>
      <c r="E201">
        <v>4</v>
      </c>
      <c r="F201">
        <v>4</v>
      </c>
      <c r="G201">
        <v>3.8530000000000002</v>
      </c>
      <c r="H201">
        <v>0</v>
      </c>
      <c r="I201">
        <v>0</v>
      </c>
      <c r="J201" s="1">
        <v>1</v>
      </c>
      <c r="K201">
        <v>65</v>
      </c>
      <c r="L201">
        <v>0</v>
      </c>
      <c r="M201" s="1">
        <v>3600</v>
      </c>
      <c r="P201">
        <f t="shared" si="12"/>
        <v>0</v>
      </c>
      <c r="Q201" s="7">
        <f t="shared" si="13"/>
        <v>100</v>
      </c>
      <c r="R201" t="str">
        <f t="shared" si="14"/>
        <v/>
      </c>
    </row>
    <row r="202" spans="1:18" s="2" customFormat="1" x14ac:dyDescent="0.3">
      <c r="A202" s="2">
        <v>70</v>
      </c>
      <c r="B202" s="2">
        <v>5</v>
      </c>
      <c r="C202" s="3">
        <v>100</v>
      </c>
      <c r="D202" s="2">
        <v>1.1499999999999999</v>
      </c>
      <c r="E202" s="2">
        <v>4</v>
      </c>
      <c r="F202" s="2">
        <v>4</v>
      </c>
      <c r="G202" s="2">
        <v>4.0209999999999999</v>
      </c>
      <c r="H202" s="2">
        <v>0</v>
      </c>
      <c r="I202" s="2">
        <v>0</v>
      </c>
      <c r="J202" s="3">
        <v>1</v>
      </c>
      <c r="K202" s="2">
        <v>65</v>
      </c>
      <c r="L202" s="2">
        <v>0</v>
      </c>
      <c r="M202" s="3">
        <v>3600</v>
      </c>
      <c r="N202" s="5">
        <f t="shared" si="11"/>
        <v>3.9862000000000002</v>
      </c>
      <c r="O202" s="19">
        <f>AVERAGE(M193:M202)</f>
        <v>3600</v>
      </c>
      <c r="P202" s="2">
        <f t="shared" si="12"/>
        <v>0</v>
      </c>
      <c r="Q202" s="8">
        <f t="shared" si="13"/>
        <v>100</v>
      </c>
      <c r="R202" s="2" t="str">
        <f t="shared" si="14"/>
        <v/>
      </c>
    </row>
    <row r="203" spans="1:18" x14ac:dyDescent="0.3">
      <c r="A203">
        <v>80</v>
      </c>
      <c r="B203">
        <v>2</v>
      </c>
      <c r="C203" s="1">
        <v>10</v>
      </c>
      <c r="D203">
        <v>1.1499999999999999</v>
      </c>
      <c r="E203">
        <v>9</v>
      </c>
      <c r="F203">
        <v>9</v>
      </c>
      <c r="G203">
        <v>57.780999999999999</v>
      </c>
      <c r="H203">
        <v>0</v>
      </c>
      <c r="I203">
        <v>0</v>
      </c>
      <c r="J203" s="1">
        <v>1</v>
      </c>
      <c r="K203">
        <v>11</v>
      </c>
      <c r="L203">
        <v>2</v>
      </c>
      <c r="M203" s="1">
        <v>3600</v>
      </c>
      <c r="P203">
        <f t="shared" si="12"/>
        <v>0</v>
      </c>
      <c r="Q203" s="7">
        <f t="shared" si="13"/>
        <v>81.818181818181827</v>
      </c>
      <c r="R203" t="str">
        <f t="shared" si="14"/>
        <v/>
      </c>
    </row>
    <row r="204" spans="1:18" x14ac:dyDescent="0.3">
      <c r="A204">
        <v>80</v>
      </c>
      <c r="B204">
        <v>2</v>
      </c>
      <c r="C204" s="1">
        <v>20</v>
      </c>
      <c r="D204">
        <v>1.1499999999999999</v>
      </c>
      <c r="E204">
        <v>9</v>
      </c>
      <c r="F204">
        <v>9</v>
      </c>
      <c r="G204">
        <v>268.77600000000001</v>
      </c>
      <c r="H204">
        <v>0</v>
      </c>
      <c r="I204">
        <v>0</v>
      </c>
      <c r="J204" s="1">
        <v>2</v>
      </c>
      <c r="K204">
        <v>9</v>
      </c>
      <c r="L204">
        <v>2</v>
      </c>
      <c r="M204" s="1">
        <v>3600</v>
      </c>
      <c r="P204">
        <f t="shared" si="12"/>
        <v>0</v>
      </c>
      <c r="Q204" s="7">
        <f t="shared" si="13"/>
        <v>77.777777777777786</v>
      </c>
      <c r="R204" t="str">
        <f t="shared" si="14"/>
        <v/>
      </c>
    </row>
    <row r="205" spans="1:18" x14ac:dyDescent="0.3">
      <c r="A205">
        <v>80</v>
      </c>
      <c r="B205">
        <v>2</v>
      </c>
      <c r="C205" s="1">
        <v>30</v>
      </c>
      <c r="D205">
        <v>1.1499999999999999</v>
      </c>
      <c r="E205">
        <v>9</v>
      </c>
      <c r="F205">
        <v>9</v>
      </c>
      <c r="G205">
        <v>66.018000000000001</v>
      </c>
      <c r="H205">
        <v>0</v>
      </c>
      <c r="I205">
        <v>0</v>
      </c>
      <c r="J205" s="1">
        <v>1</v>
      </c>
      <c r="K205">
        <v>9</v>
      </c>
      <c r="L205">
        <v>2</v>
      </c>
      <c r="M205" s="1">
        <v>3600</v>
      </c>
      <c r="P205">
        <f t="shared" si="12"/>
        <v>0</v>
      </c>
      <c r="Q205" s="7">
        <f t="shared" si="13"/>
        <v>77.777777777777786</v>
      </c>
      <c r="R205" t="str">
        <f t="shared" si="14"/>
        <v/>
      </c>
    </row>
    <row r="206" spans="1:18" x14ac:dyDescent="0.3">
      <c r="A206">
        <v>80</v>
      </c>
      <c r="B206">
        <v>2</v>
      </c>
      <c r="C206" s="1">
        <v>40</v>
      </c>
      <c r="D206">
        <v>1.1499999999999999</v>
      </c>
      <c r="E206">
        <v>9</v>
      </c>
      <c r="F206">
        <v>9</v>
      </c>
      <c r="G206">
        <v>60.277999999999999</v>
      </c>
      <c r="H206">
        <v>0</v>
      </c>
      <c r="I206">
        <v>0</v>
      </c>
      <c r="J206" s="1">
        <v>1</v>
      </c>
      <c r="K206">
        <v>10</v>
      </c>
      <c r="L206">
        <v>2</v>
      </c>
      <c r="M206" s="1">
        <v>3600</v>
      </c>
      <c r="P206">
        <f t="shared" si="12"/>
        <v>0</v>
      </c>
      <c r="Q206" s="7">
        <f t="shared" si="13"/>
        <v>80</v>
      </c>
      <c r="R206" t="str">
        <f t="shared" si="14"/>
        <v/>
      </c>
    </row>
    <row r="207" spans="1:18" x14ac:dyDescent="0.3">
      <c r="A207">
        <v>80</v>
      </c>
      <c r="B207">
        <v>2</v>
      </c>
      <c r="C207" s="1">
        <v>50</v>
      </c>
      <c r="D207">
        <v>1.1499999999999999</v>
      </c>
      <c r="E207">
        <v>9</v>
      </c>
      <c r="F207">
        <v>9</v>
      </c>
      <c r="G207">
        <v>258.00799999999998</v>
      </c>
      <c r="H207">
        <v>0</v>
      </c>
      <c r="I207">
        <v>0</v>
      </c>
      <c r="J207" s="1">
        <v>2</v>
      </c>
      <c r="K207">
        <v>10</v>
      </c>
      <c r="L207">
        <v>2</v>
      </c>
      <c r="M207" s="1">
        <v>3600</v>
      </c>
      <c r="P207">
        <f t="shared" si="12"/>
        <v>0</v>
      </c>
      <c r="Q207" s="7">
        <f t="shared" si="13"/>
        <v>80</v>
      </c>
      <c r="R207" t="str">
        <f t="shared" si="14"/>
        <v/>
      </c>
    </row>
    <row r="208" spans="1:18" x14ac:dyDescent="0.3">
      <c r="A208">
        <v>80</v>
      </c>
      <c r="B208">
        <v>2</v>
      </c>
      <c r="C208" s="1">
        <v>60</v>
      </c>
      <c r="D208">
        <v>1.1499999999999999</v>
      </c>
      <c r="E208">
        <v>9</v>
      </c>
      <c r="F208">
        <v>9</v>
      </c>
      <c r="G208">
        <v>282.83499999999998</v>
      </c>
      <c r="H208">
        <v>0</v>
      </c>
      <c r="I208">
        <v>0</v>
      </c>
      <c r="J208" s="1">
        <v>2</v>
      </c>
      <c r="K208">
        <v>10</v>
      </c>
      <c r="L208">
        <v>2</v>
      </c>
      <c r="M208" s="1">
        <v>3600</v>
      </c>
      <c r="P208">
        <f t="shared" si="12"/>
        <v>0</v>
      </c>
      <c r="Q208" s="7">
        <f t="shared" si="13"/>
        <v>80</v>
      </c>
      <c r="R208" t="str">
        <f t="shared" si="14"/>
        <v/>
      </c>
    </row>
    <row r="209" spans="1:18" x14ac:dyDescent="0.3">
      <c r="A209">
        <v>80</v>
      </c>
      <c r="B209">
        <v>2</v>
      </c>
      <c r="C209" s="1">
        <v>70</v>
      </c>
      <c r="D209">
        <v>1.1499999999999999</v>
      </c>
      <c r="E209">
        <v>9</v>
      </c>
      <c r="F209">
        <v>9</v>
      </c>
      <c r="G209">
        <v>233.64500000000001</v>
      </c>
      <c r="H209">
        <v>0</v>
      </c>
      <c r="I209">
        <v>0</v>
      </c>
      <c r="J209" s="1">
        <v>2</v>
      </c>
      <c r="K209">
        <v>9</v>
      </c>
      <c r="L209">
        <v>2</v>
      </c>
      <c r="M209" s="1">
        <v>3600</v>
      </c>
      <c r="P209">
        <f t="shared" si="12"/>
        <v>0</v>
      </c>
      <c r="Q209" s="7">
        <f t="shared" si="13"/>
        <v>77.777777777777786</v>
      </c>
      <c r="R209" t="str">
        <f t="shared" si="14"/>
        <v/>
      </c>
    </row>
    <row r="210" spans="1:18" x14ac:dyDescent="0.3">
      <c r="A210">
        <v>80</v>
      </c>
      <c r="B210">
        <v>2</v>
      </c>
      <c r="C210" s="1">
        <v>80</v>
      </c>
      <c r="D210">
        <v>1.1499999999999999</v>
      </c>
      <c r="E210">
        <v>9</v>
      </c>
      <c r="F210">
        <v>9</v>
      </c>
      <c r="G210">
        <v>38.734999999999999</v>
      </c>
      <c r="H210">
        <v>0</v>
      </c>
      <c r="I210">
        <v>0</v>
      </c>
      <c r="J210" s="1">
        <v>1</v>
      </c>
      <c r="K210">
        <v>11</v>
      </c>
      <c r="L210">
        <v>2</v>
      </c>
      <c r="M210" s="1">
        <v>3600</v>
      </c>
      <c r="P210">
        <f t="shared" si="12"/>
        <v>0</v>
      </c>
      <c r="Q210" s="7">
        <f t="shared" si="13"/>
        <v>81.818181818181827</v>
      </c>
      <c r="R210" t="str">
        <f t="shared" si="14"/>
        <v/>
      </c>
    </row>
    <row r="211" spans="1:18" x14ac:dyDescent="0.3">
      <c r="A211">
        <v>80</v>
      </c>
      <c r="B211">
        <v>2</v>
      </c>
      <c r="C211" s="1">
        <v>90</v>
      </c>
      <c r="D211">
        <v>1.1499999999999999</v>
      </c>
      <c r="E211">
        <v>9</v>
      </c>
      <c r="F211">
        <v>9</v>
      </c>
      <c r="G211">
        <v>41.377000000000002</v>
      </c>
      <c r="H211">
        <v>0</v>
      </c>
      <c r="I211">
        <v>0</v>
      </c>
      <c r="J211" s="1">
        <v>1</v>
      </c>
      <c r="K211">
        <v>10</v>
      </c>
      <c r="L211">
        <v>2</v>
      </c>
      <c r="M211" s="1">
        <v>3600</v>
      </c>
      <c r="P211">
        <f t="shared" si="12"/>
        <v>0</v>
      </c>
      <c r="Q211" s="7">
        <f t="shared" si="13"/>
        <v>80</v>
      </c>
      <c r="R211" t="str">
        <f t="shared" si="14"/>
        <v/>
      </c>
    </row>
    <row r="212" spans="1:18" s="2" customFormat="1" x14ac:dyDescent="0.3">
      <c r="A212" s="2">
        <v>80</v>
      </c>
      <c r="B212" s="2">
        <v>2</v>
      </c>
      <c r="C212" s="3">
        <v>100</v>
      </c>
      <c r="D212" s="2">
        <v>1.1499999999999999</v>
      </c>
      <c r="E212" s="2">
        <v>9</v>
      </c>
      <c r="F212" s="2">
        <v>9</v>
      </c>
      <c r="G212" s="2">
        <v>39.000999999999998</v>
      </c>
      <c r="H212" s="2">
        <v>0</v>
      </c>
      <c r="I212" s="2">
        <v>0</v>
      </c>
      <c r="J212" s="3">
        <v>1</v>
      </c>
      <c r="K212" s="2">
        <v>10</v>
      </c>
      <c r="L212" s="2">
        <v>2</v>
      </c>
      <c r="M212" s="3">
        <v>3600</v>
      </c>
      <c r="N212" s="5">
        <f t="shared" ref="N212:N242" si="15">AVERAGE(G203:G212)</f>
        <v>134.6454</v>
      </c>
      <c r="O212" s="19">
        <f>AVERAGE(M203:M212)</f>
        <v>3600</v>
      </c>
      <c r="P212" s="2">
        <f t="shared" si="12"/>
        <v>0</v>
      </c>
      <c r="Q212" s="8">
        <f t="shared" si="13"/>
        <v>80</v>
      </c>
      <c r="R212" s="2" t="str">
        <f t="shared" si="14"/>
        <v/>
      </c>
    </row>
    <row r="213" spans="1:18" x14ac:dyDescent="0.3">
      <c r="A213">
        <v>80</v>
      </c>
      <c r="B213">
        <v>3</v>
      </c>
      <c r="C213" s="1">
        <v>10</v>
      </c>
      <c r="D213">
        <v>1.1499999999999999</v>
      </c>
      <c r="E213">
        <v>8</v>
      </c>
      <c r="F213">
        <v>8</v>
      </c>
      <c r="G213">
        <v>157.49799999999999</v>
      </c>
      <c r="H213">
        <v>0</v>
      </c>
      <c r="I213">
        <v>0</v>
      </c>
      <c r="J213" s="1">
        <v>1</v>
      </c>
      <c r="K213">
        <v>77</v>
      </c>
      <c r="L213">
        <v>1</v>
      </c>
      <c r="M213" s="1">
        <v>3600</v>
      </c>
      <c r="P213">
        <f t="shared" si="12"/>
        <v>0</v>
      </c>
      <c r="Q213" s="7">
        <f t="shared" si="13"/>
        <v>98.701298701298697</v>
      </c>
      <c r="R213" t="str">
        <f t="shared" si="14"/>
        <v/>
      </c>
    </row>
    <row r="214" spans="1:18" x14ac:dyDescent="0.3">
      <c r="A214">
        <v>80</v>
      </c>
      <c r="B214">
        <v>3</v>
      </c>
      <c r="C214" s="1">
        <v>20</v>
      </c>
      <c r="D214">
        <v>1.1499999999999999</v>
      </c>
      <c r="E214">
        <v>8</v>
      </c>
      <c r="F214">
        <v>8</v>
      </c>
      <c r="G214">
        <v>58.173999999999999</v>
      </c>
      <c r="H214">
        <v>0</v>
      </c>
      <c r="I214">
        <v>0</v>
      </c>
      <c r="J214" s="1">
        <v>1</v>
      </c>
      <c r="K214">
        <v>77</v>
      </c>
      <c r="L214">
        <v>1</v>
      </c>
      <c r="M214" s="1">
        <v>3600</v>
      </c>
      <c r="P214">
        <f t="shared" si="12"/>
        <v>0</v>
      </c>
      <c r="Q214" s="7">
        <f t="shared" si="13"/>
        <v>98.701298701298697</v>
      </c>
      <c r="R214" t="str">
        <f t="shared" si="14"/>
        <v/>
      </c>
    </row>
    <row r="215" spans="1:18" x14ac:dyDescent="0.3">
      <c r="A215">
        <v>80</v>
      </c>
      <c r="B215">
        <v>3</v>
      </c>
      <c r="C215" s="1">
        <v>30</v>
      </c>
      <c r="D215">
        <v>1.1499999999999999</v>
      </c>
      <c r="E215">
        <v>8</v>
      </c>
      <c r="F215">
        <v>8</v>
      </c>
      <c r="G215">
        <v>30.978999999999999</v>
      </c>
      <c r="H215">
        <v>0</v>
      </c>
      <c r="I215">
        <v>0</v>
      </c>
      <c r="J215" s="1">
        <v>1</v>
      </c>
      <c r="K215">
        <v>8</v>
      </c>
      <c r="L215">
        <v>1</v>
      </c>
      <c r="M215" s="1">
        <v>3600</v>
      </c>
      <c r="P215">
        <f t="shared" si="12"/>
        <v>0</v>
      </c>
      <c r="Q215" s="7">
        <f t="shared" si="13"/>
        <v>87.5</v>
      </c>
      <c r="R215" t="str">
        <f t="shared" si="14"/>
        <v/>
      </c>
    </row>
    <row r="216" spans="1:18" x14ac:dyDescent="0.3">
      <c r="A216">
        <v>80</v>
      </c>
      <c r="B216">
        <v>3</v>
      </c>
      <c r="C216" s="1">
        <v>40</v>
      </c>
      <c r="D216">
        <v>1.1499999999999999</v>
      </c>
      <c r="E216">
        <v>8</v>
      </c>
      <c r="F216">
        <v>8</v>
      </c>
      <c r="G216">
        <v>45.076000000000001</v>
      </c>
      <c r="H216">
        <v>0</v>
      </c>
      <c r="I216">
        <v>0</v>
      </c>
      <c r="J216" s="1">
        <v>1</v>
      </c>
      <c r="K216">
        <v>11</v>
      </c>
      <c r="L216">
        <v>1</v>
      </c>
      <c r="M216" s="1">
        <v>3600</v>
      </c>
      <c r="P216">
        <f t="shared" si="12"/>
        <v>0</v>
      </c>
      <c r="Q216" s="7">
        <f t="shared" si="13"/>
        <v>90.909090909090907</v>
      </c>
      <c r="R216" t="str">
        <f t="shared" si="14"/>
        <v/>
      </c>
    </row>
    <row r="217" spans="1:18" x14ac:dyDescent="0.3">
      <c r="A217">
        <v>80</v>
      </c>
      <c r="B217">
        <v>3</v>
      </c>
      <c r="C217" s="1">
        <v>50</v>
      </c>
      <c r="D217">
        <v>1.1499999999999999</v>
      </c>
      <c r="E217">
        <v>8</v>
      </c>
      <c r="F217">
        <v>8</v>
      </c>
      <c r="G217">
        <v>30.715</v>
      </c>
      <c r="H217">
        <v>0</v>
      </c>
      <c r="I217">
        <v>0</v>
      </c>
      <c r="J217" s="1">
        <v>1</v>
      </c>
      <c r="K217">
        <v>77</v>
      </c>
      <c r="L217">
        <v>1</v>
      </c>
      <c r="M217" s="1">
        <v>3600</v>
      </c>
      <c r="P217">
        <f t="shared" si="12"/>
        <v>0</v>
      </c>
      <c r="Q217" s="7">
        <f t="shared" si="13"/>
        <v>98.701298701298697</v>
      </c>
      <c r="R217" t="str">
        <f t="shared" si="14"/>
        <v/>
      </c>
    </row>
    <row r="218" spans="1:18" x14ac:dyDescent="0.3">
      <c r="A218">
        <v>80</v>
      </c>
      <c r="B218">
        <v>3</v>
      </c>
      <c r="C218" s="1">
        <v>60</v>
      </c>
      <c r="D218">
        <v>1.1499999999999999</v>
      </c>
      <c r="E218">
        <v>8</v>
      </c>
      <c r="F218">
        <v>8</v>
      </c>
      <c r="G218">
        <v>41.732999999999997</v>
      </c>
      <c r="H218">
        <v>0</v>
      </c>
      <c r="I218">
        <v>0</v>
      </c>
      <c r="J218" s="1">
        <v>1</v>
      </c>
      <c r="K218">
        <v>77</v>
      </c>
      <c r="L218">
        <v>1</v>
      </c>
      <c r="M218" s="1">
        <v>3600</v>
      </c>
      <c r="P218">
        <f t="shared" si="12"/>
        <v>0</v>
      </c>
      <c r="Q218" s="7">
        <f t="shared" si="13"/>
        <v>98.701298701298697</v>
      </c>
      <c r="R218" t="str">
        <f t="shared" si="14"/>
        <v/>
      </c>
    </row>
    <row r="219" spans="1:18" x14ac:dyDescent="0.3">
      <c r="A219">
        <v>80</v>
      </c>
      <c r="B219">
        <v>3</v>
      </c>
      <c r="C219" s="1">
        <v>70</v>
      </c>
      <c r="D219">
        <v>1.1499999999999999</v>
      </c>
      <c r="E219">
        <v>8</v>
      </c>
      <c r="F219">
        <v>8</v>
      </c>
      <c r="G219">
        <v>48.188000000000002</v>
      </c>
      <c r="H219">
        <v>0</v>
      </c>
      <c r="I219">
        <v>0</v>
      </c>
      <c r="J219" s="1">
        <v>1</v>
      </c>
      <c r="K219">
        <v>77</v>
      </c>
      <c r="L219">
        <v>1</v>
      </c>
      <c r="M219" s="1">
        <v>3600</v>
      </c>
      <c r="P219">
        <f t="shared" si="12"/>
        <v>0</v>
      </c>
      <c r="Q219" s="7">
        <f t="shared" si="13"/>
        <v>98.701298701298697</v>
      </c>
      <c r="R219" t="str">
        <f t="shared" si="14"/>
        <v/>
      </c>
    </row>
    <row r="220" spans="1:18" x14ac:dyDescent="0.3">
      <c r="A220">
        <v>80</v>
      </c>
      <c r="B220">
        <v>3</v>
      </c>
      <c r="C220" s="1">
        <v>80</v>
      </c>
      <c r="D220">
        <v>1.1499999999999999</v>
      </c>
      <c r="E220">
        <v>8</v>
      </c>
      <c r="F220">
        <v>8</v>
      </c>
      <c r="G220">
        <v>38.805</v>
      </c>
      <c r="H220">
        <v>0</v>
      </c>
      <c r="I220">
        <v>0</v>
      </c>
      <c r="J220" s="1">
        <v>1</v>
      </c>
      <c r="K220">
        <v>77</v>
      </c>
      <c r="L220">
        <v>1</v>
      </c>
      <c r="M220" s="1">
        <v>3600</v>
      </c>
      <c r="P220">
        <f t="shared" si="12"/>
        <v>0</v>
      </c>
      <c r="Q220" s="7">
        <f t="shared" si="13"/>
        <v>98.701298701298697</v>
      </c>
      <c r="R220" t="str">
        <f t="shared" si="14"/>
        <v/>
      </c>
    </row>
    <row r="221" spans="1:18" x14ac:dyDescent="0.3">
      <c r="A221">
        <v>80</v>
      </c>
      <c r="B221">
        <v>3</v>
      </c>
      <c r="C221" s="1">
        <v>90</v>
      </c>
      <c r="D221">
        <v>1.1499999999999999</v>
      </c>
      <c r="E221">
        <v>8</v>
      </c>
      <c r="F221">
        <v>8</v>
      </c>
      <c r="G221">
        <v>42.122999999999998</v>
      </c>
      <c r="H221">
        <v>0</v>
      </c>
      <c r="I221">
        <v>0</v>
      </c>
      <c r="J221" s="1">
        <v>1</v>
      </c>
      <c r="K221" s="34">
        <v>77</v>
      </c>
      <c r="L221" s="34">
        <v>1</v>
      </c>
      <c r="M221" s="35">
        <v>3600</v>
      </c>
      <c r="P221">
        <f t="shared" si="12"/>
        <v>0</v>
      </c>
      <c r="Q221" s="7">
        <f t="shared" si="13"/>
        <v>98.701298701298697</v>
      </c>
      <c r="R221" t="str">
        <f t="shared" si="14"/>
        <v/>
      </c>
    </row>
    <row r="222" spans="1:18" s="2" customFormat="1" x14ac:dyDescent="0.3">
      <c r="A222" s="2">
        <v>80</v>
      </c>
      <c r="B222" s="2">
        <v>3</v>
      </c>
      <c r="C222" s="3">
        <v>100</v>
      </c>
      <c r="D222" s="2">
        <v>1.1499999999999999</v>
      </c>
      <c r="E222" s="2">
        <v>8</v>
      </c>
      <c r="F222" s="2">
        <v>8</v>
      </c>
      <c r="G222" s="2">
        <v>37.823</v>
      </c>
      <c r="H222" s="2">
        <v>0</v>
      </c>
      <c r="I222" s="2">
        <v>0</v>
      </c>
      <c r="J222" s="3">
        <v>1</v>
      </c>
      <c r="K222" s="36">
        <v>77</v>
      </c>
      <c r="L222" s="36">
        <v>1</v>
      </c>
      <c r="M222" s="37">
        <v>3600</v>
      </c>
      <c r="N222" s="5">
        <f>AVERAGE(G213:G222)</f>
        <v>53.111400000000003</v>
      </c>
      <c r="O222" s="19">
        <f>AVERAGE(M213:M222)</f>
        <v>3600</v>
      </c>
      <c r="P222" s="2">
        <f t="shared" si="12"/>
        <v>0</v>
      </c>
      <c r="Q222" s="8">
        <f t="shared" si="13"/>
        <v>98.701298701298697</v>
      </c>
      <c r="R222" s="2" t="str">
        <f t="shared" si="14"/>
        <v/>
      </c>
    </row>
    <row r="223" spans="1:18" x14ac:dyDescent="0.3">
      <c r="A223">
        <v>80</v>
      </c>
      <c r="B223">
        <v>4</v>
      </c>
      <c r="C223" s="1">
        <v>10</v>
      </c>
      <c r="D223">
        <v>1.1499999999999999</v>
      </c>
      <c r="E223">
        <v>7</v>
      </c>
      <c r="F223">
        <v>7</v>
      </c>
      <c r="G223">
        <v>27.295999999999999</v>
      </c>
      <c r="H223">
        <v>0</v>
      </c>
      <c r="I223">
        <v>0</v>
      </c>
      <c r="J223" s="1">
        <v>1</v>
      </c>
      <c r="K223" s="34">
        <v>76</v>
      </c>
      <c r="L223" s="34">
        <v>1</v>
      </c>
      <c r="M223" s="35">
        <v>3600</v>
      </c>
      <c r="P223">
        <f t="shared" si="12"/>
        <v>0</v>
      </c>
      <c r="Q223" s="7">
        <f t="shared" si="13"/>
        <v>98.68421052631578</v>
      </c>
      <c r="R223" t="str">
        <f t="shared" si="14"/>
        <v/>
      </c>
    </row>
    <row r="224" spans="1:18" x14ac:dyDescent="0.3">
      <c r="A224">
        <v>80</v>
      </c>
      <c r="B224">
        <v>4</v>
      </c>
      <c r="C224" s="1">
        <v>20</v>
      </c>
      <c r="D224">
        <v>1.1499999999999999</v>
      </c>
      <c r="E224">
        <v>7</v>
      </c>
      <c r="F224">
        <v>7</v>
      </c>
      <c r="G224">
        <v>25.247</v>
      </c>
      <c r="H224">
        <v>0</v>
      </c>
      <c r="I224">
        <v>0</v>
      </c>
      <c r="J224" s="1">
        <v>1</v>
      </c>
      <c r="K224" s="34">
        <v>76</v>
      </c>
      <c r="L224" s="34">
        <v>0</v>
      </c>
      <c r="M224" s="35">
        <v>3600</v>
      </c>
      <c r="P224">
        <f t="shared" si="12"/>
        <v>0</v>
      </c>
      <c r="Q224" s="7">
        <f t="shared" si="13"/>
        <v>100</v>
      </c>
      <c r="R224" t="str">
        <f t="shared" si="14"/>
        <v/>
      </c>
    </row>
    <row r="225" spans="1:18" x14ac:dyDescent="0.3">
      <c r="A225">
        <v>80</v>
      </c>
      <c r="B225">
        <v>4</v>
      </c>
      <c r="C225" s="1">
        <v>30</v>
      </c>
      <c r="D225">
        <v>1.1499999999999999</v>
      </c>
      <c r="E225">
        <v>7</v>
      </c>
      <c r="F225">
        <v>7</v>
      </c>
      <c r="G225">
        <v>25.97</v>
      </c>
      <c r="H225">
        <v>0</v>
      </c>
      <c r="I225">
        <v>0</v>
      </c>
      <c r="J225" s="1">
        <v>1</v>
      </c>
      <c r="K225" s="34">
        <v>76</v>
      </c>
      <c r="L225" s="34">
        <v>1</v>
      </c>
      <c r="M225" s="35">
        <v>3600</v>
      </c>
      <c r="P225">
        <f t="shared" si="12"/>
        <v>0</v>
      </c>
      <c r="Q225" s="7">
        <f t="shared" si="13"/>
        <v>98.68421052631578</v>
      </c>
      <c r="R225" t="str">
        <f t="shared" si="14"/>
        <v/>
      </c>
    </row>
    <row r="226" spans="1:18" x14ac:dyDescent="0.3">
      <c r="A226">
        <v>80</v>
      </c>
      <c r="B226">
        <v>4</v>
      </c>
      <c r="C226" s="1">
        <v>40</v>
      </c>
      <c r="D226">
        <v>1.1499999999999999</v>
      </c>
      <c r="E226">
        <v>7</v>
      </c>
      <c r="F226">
        <v>7</v>
      </c>
      <c r="G226">
        <v>21.259</v>
      </c>
      <c r="H226">
        <v>0</v>
      </c>
      <c r="I226">
        <v>0</v>
      </c>
      <c r="J226" s="1">
        <v>1</v>
      </c>
      <c r="K226" s="34">
        <v>76</v>
      </c>
      <c r="L226" s="34">
        <v>0</v>
      </c>
      <c r="M226" s="35">
        <v>3600</v>
      </c>
      <c r="P226">
        <f t="shared" si="12"/>
        <v>0</v>
      </c>
      <c r="Q226" s="7">
        <f t="shared" si="13"/>
        <v>100</v>
      </c>
      <c r="R226" t="str">
        <f t="shared" si="14"/>
        <v/>
      </c>
    </row>
    <row r="227" spans="1:18" x14ac:dyDescent="0.3">
      <c r="A227">
        <v>80</v>
      </c>
      <c r="B227">
        <v>4</v>
      </c>
      <c r="C227" s="1">
        <v>50</v>
      </c>
      <c r="D227">
        <v>1.1499999999999999</v>
      </c>
      <c r="E227">
        <v>7</v>
      </c>
      <c r="F227">
        <v>7</v>
      </c>
      <c r="G227">
        <v>12.031000000000001</v>
      </c>
      <c r="H227">
        <v>0</v>
      </c>
      <c r="I227">
        <v>0</v>
      </c>
      <c r="J227" s="1">
        <v>1</v>
      </c>
      <c r="K227" s="34">
        <v>76</v>
      </c>
      <c r="L227" s="34">
        <v>0</v>
      </c>
      <c r="M227" s="35">
        <v>3600</v>
      </c>
      <c r="P227">
        <f t="shared" si="12"/>
        <v>0</v>
      </c>
      <c r="Q227" s="7">
        <f t="shared" si="13"/>
        <v>100</v>
      </c>
      <c r="R227" t="str">
        <f t="shared" si="14"/>
        <v/>
      </c>
    </row>
    <row r="228" spans="1:18" x14ac:dyDescent="0.3">
      <c r="A228">
        <v>80</v>
      </c>
      <c r="B228">
        <v>4</v>
      </c>
      <c r="C228" s="1">
        <v>60</v>
      </c>
      <c r="D228">
        <v>1.1499999999999999</v>
      </c>
      <c r="E228">
        <v>7</v>
      </c>
      <c r="F228">
        <v>7</v>
      </c>
      <c r="G228">
        <v>27.780999999999999</v>
      </c>
      <c r="H228">
        <v>0</v>
      </c>
      <c r="I228">
        <v>0</v>
      </c>
      <c r="J228" s="1">
        <v>1</v>
      </c>
      <c r="K228" s="34">
        <v>76</v>
      </c>
      <c r="L228" s="34">
        <v>1</v>
      </c>
      <c r="M228" s="35">
        <v>3600</v>
      </c>
      <c r="P228">
        <f t="shared" si="12"/>
        <v>0</v>
      </c>
      <c r="Q228" s="7">
        <f t="shared" si="13"/>
        <v>98.68421052631578</v>
      </c>
      <c r="R228" t="str">
        <f t="shared" si="14"/>
        <v/>
      </c>
    </row>
    <row r="229" spans="1:18" x14ac:dyDescent="0.3">
      <c r="A229">
        <v>80</v>
      </c>
      <c r="B229">
        <v>4</v>
      </c>
      <c r="C229" s="1">
        <v>70</v>
      </c>
      <c r="D229">
        <v>1.1499999999999999</v>
      </c>
      <c r="E229">
        <v>7</v>
      </c>
      <c r="F229">
        <v>7</v>
      </c>
      <c r="G229">
        <v>20.216999999999999</v>
      </c>
      <c r="H229">
        <v>0</v>
      </c>
      <c r="I229">
        <v>0</v>
      </c>
      <c r="J229" s="1">
        <v>1</v>
      </c>
      <c r="K229" s="34">
        <v>76</v>
      </c>
      <c r="L229" s="34">
        <v>1</v>
      </c>
      <c r="M229" s="35">
        <v>3600</v>
      </c>
      <c r="P229">
        <f t="shared" si="12"/>
        <v>0</v>
      </c>
      <c r="Q229" s="7">
        <f t="shared" si="13"/>
        <v>98.68421052631578</v>
      </c>
      <c r="R229" t="str">
        <f t="shared" si="14"/>
        <v/>
      </c>
    </row>
    <row r="230" spans="1:18" x14ac:dyDescent="0.3">
      <c r="A230">
        <v>80</v>
      </c>
      <c r="B230">
        <v>4</v>
      </c>
      <c r="C230" s="1">
        <v>80</v>
      </c>
      <c r="D230">
        <v>1.1499999999999999</v>
      </c>
      <c r="E230">
        <v>7</v>
      </c>
      <c r="F230">
        <v>7</v>
      </c>
      <c r="G230">
        <v>13.535</v>
      </c>
      <c r="H230">
        <v>0</v>
      </c>
      <c r="I230">
        <v>0</v>
      </c>
      <c r="J230" s="1">
        <v>1</v>
      </c>
      <c r="K230" s="34">
        <v>76</v>
      </c>
      <c r="L230" s="34">
        <v>1</v>
      </c>
      <c r="M230" s="35">
        <v>3600</v>
      </c>
      <c r="P230">
        <f t="shared" si="12"/>
        <v>0</v>
      </c>
      <c r="Q230" s="7">
        <f t="shared" si="13"/>
        <v>98.68421052631578</v>
      </c>
      <c r="R230" t="str">
        <f t="shared" si="14"/>
        <v/>
      </c>
    </row>
    <row r="231" spans="1:18" x14ac:dyDescent="0.3">
      <c r="A231">
        <v>80</v>
      </c>
      <c r="B231">
        <v>4</v>
      </c>
      <c r="C231" s="1">
        <v>90</v>
      </c>
      <c r="D231">
        <v>1.1499999999999999</v>
      </c>
      <c r="E231">
        <v>7</v>
      </c>
      <c r="F231">
        <v>7</v>
      </c>
      <c r="G231">
        <v>36.039000000000001</v>
      </c>
      <c r="H231">
        <v>0</v>
      </c>
      <c r="I231">
        <v>0</v>
      </c>
      <c r="J231" s="1">
        <v>1</v>
      </c>
      <c r="K231" s="34">
        <v>76</v>
      </c>
      <c r="L231" s="34">
        <v>1</v>
      </c>
      <c r="M231" s="35">
        <v>3600</v>
      </c>
      <c r="P231">
        <f t="shared" si="12"/>
        <v>0</v>
      </c>
      <c r="Q231" s="7">
        <f t="shared" si="13"/>
        <v>98.68421052631578</v>
      </c>
      <c r="R231" t="str">
        <f t="shared" si="14"/>
        <v/>
      </c>
    </row>
    <row r="232" spans="1:18" s="2" customFormat="1" x14ac:dyDescent="0.3">
      <c r="A232" s="2">
        <v>80</v>
      </c>
      <c r="B232" s="2">
        <v>4</v>
      </c>
      <c r="C232" s="3">
        <v>100</v>
      </c>
      <c r="D232" s="2">
        <v>1.1499999999999999</v>
      </c>
      <c r="E232" s="2">
        <v>7</v>
      </c>
      <c r="F232" s="2">
        <v>7</v>
      </c>
      <c r="G232" s="2">
        <v>23.94</v>
      </c>
      <c r="H232" s="2">
        <v>0</v>
      </c>
      <c r="I232" s="2">
        <v>0</v>
      </c>
      <c r="J232" s="3">
        <v>1</v>
      </c>
      <c r="K232" s="36">
        <v>76</v>
      </c>
      <c r="L232" s="36">
        <v>0</v>
      </c>
      <c r="M232" s="37">
        <v>3600</v>
      </c>
      <c r="N232" s="5">
        <f t="shared" si="15"/>
        <v>23.331499999999998</v>
      </c>
      <c r="O232" s="19">
        <f>AVERAGE(M223:M232)</f>
        <v>3600</v>
      </c>
      <c r="P232" s="2">
        <f t="shared" si="12"/>
        <v>0</v>
      </c>
      <c r="Q232" s="8">
        <f t="shared" si="13"/>
        <v>100</v>
      </c>
      <c r="R232" s="2" t="str">
        <f t="shared" si="14"/>
        <v/>
      </c>
    </row>
    <row r="233" spans="1:18" x14ac:dyDescent="0.3">
      <c r="A233">
        <v>80</v>
      </c>
      <c r="B233">
        <v>5</v>
      </c>
      <c r="C233" s="1">
        <v>10</v>
      </c>
      <c r="D233">
        <v>1.1499999999999999</v>
      </c>
      <c r="E233">
        <v>6</v>
      </c>
      <c r="F233">
        <v>6</v>
      </c>
      <c r="G233">
        <v>9.3770000000000007</v>
      </c>
      <c r="H233">
        <v>0</v>
      </c>
      <c r="I233">
        <v>0</v>
      </c>
      <c r="J233" s="1">
        <v>1</v>
      </c>
      <c r="K233" s="34">
        <v>75</v>
      </c>
      <c r="L233" s="34">
        <v>0</v>
      </c>
      <c r="M233" s="35">
        <v>3600</v>
      </c>
      <c r="P233">
        <f t="shared" si="12"/>
        <v>0</v>
      </c>
      <c r="Q233" s="7">
        <f t="shared" si="13"/>
        <v>100</v>
      </c>
      <c r="R233" t="str">
        <f t="shared" si="14"/>
        <v/>
      </c>
    </row>
    <row r="234" spans="1:18" x14ac:dyDescent="0.3">
      <c r="A234">
        <v>80</v>
      </c>
      <c r="B234">
        <v>5</v>
      </c>
      <c r="C234" s="1">
        <v>20</v>
      </c>
      <c r="D234">
        <v>1.1499999999999999</v>
      </c>
      <c r="E234">
        <v>6</v>
      </c>
      <c r="F234">
        <v>6</v>
      </c>
      <c r="G234">
        <v>12.634</v>
      </c>
      <c r="H234">
        <v>0</v>
      </c>
      <c r="I234">
        <v>0</v>
      </c>
      <c r="J234" s="1">
        <v>1</v>
      </c>
      <c r="K234" s="34">
        <v>75</v>
      </c>
      <c r="L234" s="34">
        <v>0</v>
      </c>
      <c r="M234" s="35">
        <v>3600</v>
      </c>
      <c r="P234">
        <f t="shared" si="12"/>
        <v>0</v>
      </c>
      <c r="Q234" s="7">
        <f t="shared" si="13"/>
        <v>100</v>
      </c>
      <c r="R234" t="str">
        <f t="shared" si="14"/>
        <v/>
      </c>
    </row>
    <row r="235" spans="1:18" x14ac:dyDescent="0.3">
      <c r="A235">
        <v>80</v>
      </c>
      <c r="B235">
        <v>5</v>
      </c>
      <c r="C235" s="1">
        <v>30</v>
      </c>
      <c r="D235">
        <v>1.1499999999999999</v>
      </c>
      <c r="E235">
        <v>6</v>
      </c>
      <c r="F235">
        <v>6</v>
      </c>
      <c r="G235">
        <v>13.090999999999999</v>
      </c>
      <c r="H235">
        <v>0</v>
      </c>
      <c r="I235">
        <v>0</v>
      </c>
      <c r="J235" s="1">
        <v>1</v>
      </c>
      <c r="K235" s="34">
        <v>75</v>
      </c>
      <c r="L235" s="34">
        <v>0</v>
      </c>
      <c r="M235" s="35">
        <v>3600</v>
      </c>
      <c r="P235">
        <f t="shared" si="12"/>
        <v>0</v>
      </c>
      <c r="Q235" s="7">
        <f t="shared" si="13"/>
        <v>100</v>
      </c>
      <c r="R235" t="str">
        <f t="shared" si="14"/>
        <v/>
      </c>
    </row>
    <row r="236" spans="1:18" x14ac:dyDescent="0.3">
      <c r="A236">
        <v>80</v>
      </c>
      <c r="B236">
        <v>5</v>
      </c>
      <c r="C236" s="1">
        <v>40</v>
      </c>
      <c r="D236">
        <v>1.1499999999999999</v>
      </c>
      <c r="E236">
        <v>6</v>
      </c>
      <c r="F236">
        <v>6</v>
      </c>
      <c r="G236">
        <v>11.196999999999999</v>
      </c>
      <c r="H236">
        <v>0</v>
      </c>
      <c r="I236">
        <v>0</v>
      </c>
      <c r="J236" s="1">
        <v>1</v>
      </c>
      <c r="K236" s="34">
        <v>75</v>
      </c>
      <c r="L236" s="34">
        <v>0</v>
      </c>
      <c r="M236" s="35">
        <v>3600</v>
      </c>
      <c r="P236">
        <f t="shared" si="12"/>
        <v>0</v>
      </c>
      <c r="Q236" s="7">
        <f t="shared" si="13"/>
        <v>100</v>
      </c>
      <c r="R236" t="str">
        <f t="shared" si="14"/>
        <v/>
      </c>
    </row>
    <row r="237" spans="1:18" x14ac:dyDescent="0.3">
      <c r="A237">
        <v>80</v>
      </c>
      <c r="B237">
        <v>5</v>
      </c>
      <c r="C237" s="1">
        <v>50</v>
      </c>
      <c r="D237">
        <v>1.1499999999999999</v>
      </c>
      <c r="E237">
        <v>6</v>
      </c>
      <c r="F237">
        <v>6</v>
      </c>
      <c r="G237">
        <v>12.334</v>
      </c>
      <c r="H237">
        <v>0</v>
      </c>
      <c r="I237">
        <v>0</v>
      </c>
      <c r="J237" s="1">
        <v>1</v>
      </c>
      <c r="K237" s="34">
        <v>75</v>
      </c>
      <c r="L237" s="34">
        <v>0</v>
      </c>
      <c r="M237" s="35">
        <v>3600</v>
      </c>
      <c r="P237">
        <f t="shared" si="12"/>
        <v>0</v>
      </c>
      <c r="Q237" s="7">
        <f t="shared" si="13"/>
        <v>100</v>
      </c>
      <c r="R237" t="str">
        <f t="shared" si="14"/>
        <v/>
      </c>
    </row>
    <row r="238" spans="1:18" x14ac:dyDescent="0.3">
      <c r="A238">
        <v>80</v>
      </c>
      <c r="B238">
        <v>5</v>
      </c>
      <c r="C238" s="1">
        <v>60</v>
      </c>
      <c r="D238">
        <v>1.1499999999999999</v>
      </c>
      <c r="E238">
        <v>6</v>
      </c>
      <c r="F238">
        <v>6</v>
      </c>
      <c r="G238">
        <v>13.65</v>
      </c>
      <c r="H238">
        <v>0</v>
      </c>
      <c r="I238">
        <v>0</v>
      </c>
      <c r="J238" s="1">
        <v>1</v>
      </c>
      <c r="K238" s="34">
        <v>75</v>
      </c>
      <c r="L238" s="34">
        <v>0</v>
      </c>
      <c r="M238" s="35">
        <v>3600</v>
      </c>
      <c r="P238">
        <f t="shared" si="12"/>
        <v>0</v>
      </c>
      <c r="Q238" s="7">
        <f t="shared" si="13"/>
        <v>100</v>
      </c>
      <c r="R238" t="str">
        <f t="shared" si="14"/>
        <v/>
      </c>
    </row>
    <row r="239" spans="1:18" x14ac:dyDescent="0.3">
      <c r="A239">
        <v>80</v>
      </c>
      <c r="B239">
        <v>5</v>
      </c>
      <c r="C239" s="1">
        <v>70</v>
      </c>
      <c r="D239">
        <v>1.1499999999999999</v>
      </c>
      <c r="E239">
        <v>6</v>
      </c>
      <c r="F239">
        <v>6</v>
      </c>
      <c r="G239">
        <v>12.994</v>
      </c>
      <c r="H239">
        <v>0</v>
      </c>
      <c r="I239">
        <v>0</v>
      </c>
      <c r="J239" s="1">
        <v>1</v>
      </c>
      <c r="K239" s="34">
        <v>75</v>
      </c>
      <c r="L239" s="34">
        <v>0</v>
      </c>
      <c r="M239" s="35">
        <v>3600</v>
      </c>
      <c r="P239">
        <f t="shared" si="12"/>
        <v>0</v>
      </c>
      <c r="Q239" s="7">
        <f t="shared" si="13"/>
        <v>100</v>
      </c>
      <c r="R239" t="str">
        <f t="shared" si="14"/>
        <v/>
      </c>
    </row>
    <row r="240" spans="1:18" x14ac:dyDescent="0.3">
      <c r="A240">
        <v>80</v>
      </c>
      <c r="B240">
        <v>5</v>
      </c>
      <c r="C240" s="1">
        <v>80</v>
      </c>
      <c r="D240">
        <v>1.1499999999999999</v>
      </c>
      <c r="E240">
        <v>6</v>
      </c>
      <c r="F240">
        <v>6</v>
      </c>
      <c r="G240">
        <v>10.473000000000001</v>
      </c>
      <c r="H240">
        <v>0</v>
      </c>
      <c r="I240">
        <v>0</v>
      </c>
      <c r="J240" s="1">
        <v>1</v>
      </c>
      <c r="K240" s="34">
        <v>75</v>
      </c>
      <c r="L240" s="34">
        <v>0</v>
      </c>
      <c r="M240" s="35">
        <v>3600</v>
      </c>
      <c r="P240">
        <f t="shared" si="12"/>
        <v>0</v>
      </c>
      <c r="Q240" s="7">
        <f t="shared" si="13"/>
        <v>100</v>
      </c>
      <c r="R240" t="str">
        <f t="shared" si="14"/>
        <v/>
      </c>
    </row>
    <row r="241" spans="1:18" x14ac:dyDescent="0.3">
      <c r="A241">
        <v>80</v>
      </c>
      <c r="B241">
        <v>5</v>
      </c>
      <c r="C241" s="1">
        <v>90</v>
      </c>
      <c r="D241">
        <v>1.1499999999999999</v>
      </c>
      <c r="E241">
        <v>6</v>
      </c>
      <c r="F241">
        <v>6</v>
      </c>
      <c r="G241">
        <v>10.297000000000001</v>
      </c>
      <c r="H241">
        <v>0</v>
      </c>
      <c r="I241">
        <v>0</v>
      </c>
      <c r="J241" s="1">
        <v>1</v>
      </c>
      <c r="K241" s="34">
        <v>75</v>
      </c>
      <c r="L241" s="34">
        <v>0</v>
      </c>
      <c r="M241" s="35">
        <v>3600</v>
      </c>
      <c r="P241">
        <f t="shared" si="12"/>
        <v>0</v>
      </c>
      <c r="Q241" s="7">
        <f t="shared" si="13"/>
        <v>100</v>
      </c>
      <c r="R241" t="str">
        <f t="shared" si="14"/>
        <v/>
      </c>
    </row>
    <row r="242" spans="1:18" s="2" customFormat="1" x14ac:dyDescent="0.3">
      <c r="A242" s="2">
        <v>80</v>
      </c>
      <c r="B242" s="2">
        <v>5</v>
      </c>
      <c r="C242" s="3">
        <v>100</v>
      </c>
      <c r="D242" s="2">
        <v>1.1499999999999999</v>
      </c>
      <c r="E242" s="2">
        <v>6</v>
      </c>
      <c r="F242" s="2">
        <v>6</v>
      </c>
      <c r="G242" s="2">
        <v>11.362</v>
      </c>
      <c r="H242" s="2">
        <v>0</v>
      </c>
      <c r="I242" s="2">
        <v>0</v>
      </c>
      <c r="J242" s="3">
        <v>1</v>
      </c>
      <c r="K242" s="36">
        <v>75</v>
      </c>
      <c r="L242" s="36">
        <v>0</v>
      </c>
      <c r="M242" s="37">
        <v>3600</v>
      </c>
      <c r="N242" s="5">
        <f t="shared" si="15"/>
        <v>11.7409</v>
      </c>
      <c r="O242" s="19">
        <f>AVERAGE(M233:M242)</f>
        <v>3600</v>
      </c>
      <c r="P242" s="2">
        <f t="shared" si="12"/>
        <v>0</v>
      </c>
      <c r="Q242" s="8">
        <f t="shared" si="13"/>
        <v>100</v>
      </c>
      <c r="R242" s="2" t="str">
        <f t="shared" si="14"/>
        <v/>
      </c>
    </row>
    <row r="243" spans="1:18" x14ac:dyDescent="0.3">
      <c r="D243">
        <f>AVERAGE(D3:D242)</f>
        <v>1.1500000000000021</v>
      </c>
      <c r="E243">
        <f t="shared" ref="E243:G243" si="16">AVERAGE(E3:E242)</f>
        <v>4.0875000000000004</v>
      </c>
      <c r="F243">
        <f t="shared" si="16"/>
        <v>4.0875000000000004</v>
      </c>
      <c r="G243">
        <f t="shared" si="16"/>
        <v>14.446395833333334</v>
      </c>
      <c r="H243">
        <f t="shared" ref="H243:J243" si="17">SUM(H3:H242)</f>
        <v>8</v>
      </c>
      <c r="I243">
        <f t="shared" si="17"/>
        <v>20</v>
      </c>
      <c r="J243">
        <f t="shared" si="17"/>
        <v>256</v>
      </c>
      <c r="P243">
        <f>COUNTIF(P3:P242,"&gt;0")</f>
        <v>0</v>
      </c>
      <c r="Q243">
        <f>COUNTIF(Q3:Q242,"&gt;0")</f>
        <v>191</v>
      </c>
    </row>
    <row r="323" spans="4:17" x14ac:dyDescent="0.3">
      <c r="D323" s="6">
        <f>AVERAGE(D12:D242)</f>
        <v>1.150000000000003</v>
      </c>
      <c r="E323">
        <f>SUM(E12:E242)</f>
        <v>963</v>
      </c>
      <c r="F323">
        <f>SUM(F12:F242)</f>
        <v>963</v>
      </c>
      <c r="N323" s="4">
        <f>AVERAGE(N12:N242)</f>
        <v>14.446395833333334</v>
      </c>
      <c r="O323" s="16">
        <f>AVERAGE(O12:O242)</f>
        <v>2947.6332916666665</v>
      </c>
      <c r="P323">
        <f>COUNTIF(P12:P242,"&gt;0")</f>
        <v>0</v>
      </c>
      <c r="Q323">
        <f>COUNTIF(Q12:Q242,"&gt;0")</f>
        <v>191</v>
      </c>
    </row>
  </sheetData>
  <autoFilter ref="N1:N323" xr:uid="{3BDC2A91-F62C-482F-8F5A-8E214630FF7D}"/>
  <phoneticPr fontId="1" type="noConversion"/>
  <conditionalFormatting sqref="R1 P2:P242 R243:R322">
    <cfRule type="containsText" dxfId="7" priority="5" operator="containsText" text="FALSE">
      <formula>NOT(ISERROR(SEARCH("FALSE",P1)))</formula>
    </cfRule>
  </conditionalFormatting>
  <conditionalFormatting sqref="R1:R1048576">
    <cfRule type="containsText" dxfId="6" priority="3" operator="containsText" text="TRUE">
      <formula>NOT(ISERROR(SEARCH("TRUE",R1)))</formula>
    </cfRule>
  </conditionalFormatting>
  <conditionalFormatting sqref="S1 Q2:Q242 S243:S322">
    <cfRule type="containsText" dxfId="5" priority="4" operator="containsText" text="false">
      <formula>NOT(ISERROR(SEARCH("false",Q1)))</formula>
    </cfRule>
  </conditionalFormatting>
  <conditionalFormatting sqref="K3:K242">
    <cfRule type="expression" dxfId="4" priority="1">
      <formula>K3=A3-B3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A781-85E3-4659-892A-0E666C9A7C54}">
  <dimension ref="A1:M323"/>
  <sheetViews>
    <sheetView topLeftCell="A212" zoomScale="85" zoomScaleNormal="85" workbookViewId="0">
      <selection activeCell="G220" sqref="G220"/>
    </sheetView>
  </sheetViews>
  <sheetFormatPr defaultRowHeight="16.5" x14ac:dyDescent="0.3"/>
  <cols>
    <col min="1" max="1" width="8.875" bestFit="1" customWidth="1"/>
    <col min="2" max="2" width="13.75" bestFit="1" customWidth="1"/>
    <col min="5" max="5" width="14.75" bestFit="1" customWidth="1"/>
    <col min="6" max="6" width="12.625" bestFit="1" customWidth="1"/>
    <col min="7" max="7" width="9.75" bestFit="1" customWidth="1"/>
    <col min="8" max="8" width="15.125" bestFit="1" customWidth="1"/>
    <col min="9" max="9" width="14.125" bestFit="1" customWidth="1"/>
    <col min="10" max="10" width="13.625" bestFit="1" customWidth="1"/>
    <col min="11" max="11" width="9.125" style="4" bestFit="1" customWidth="1"/>
    <col min="13" max="13" width="9" style="7"/>
  </cols>
  <sheetData>
    <row r="1" spans="1:13" s="13" customFormat="1" x14ac:dyDescent="0.3">
      <c r="C1" s="12"/>
      <c r="D1" s="13" t="s">
        <v>18</v>
      </c>
      <c r="J1" s="12"/>
      <c r="K1" s="11"/>
      <c r="M1" s="10"/>
    </row>
    <row r="2" spans="1:13" s="9" customFormat="1" x14ac:dyDescent="0.3">
      <c r="A2" s="9" t="s">
        <v>8</v>
      </c>
      <c r="B2" s="9" t="s">
        <v>9</v>
      </c>
      <c r="C2" s="17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17" t="s">
        <v>17</v>
      </c>
      <c r="K2" s="15" t="s">
        <v>4</v>
      </c>
      <c r="L2" s="9" t="s">
        <v>5</v>
      </c>
    </row>
    <row r="3" spans="1:13" x14ac:dyDescent="0.3">
      <c r="A3">
        <v>30</v>
      </c>
      <c r="B3">
        <v>2</v>
      </c>
      <c r="C3" s="1">
        <v>10</v>
      </c>
      <c r="D3">
        <v>1.1499999999999999</v>
      </c>
      <c r="E3">
        <v>2</v>
      </c>
      <c r="F3">
        <v>2</v>
      </c>
      <c r="G3">
        <v>8.1000000000000003E-2</v>
      </c>
      <c r="H3">
        <v>0</v>
      </c>
      <c r="I3">
        <v>0</v>
      </c>
      <c r="J3" s="1">
        <v>1</v>
      </c>
      <c r="L3">
        <f t="shared" ref="L3:L66" si="0">IF(ISBLANK(E3),IF(ISBLANK(F3),"",100), IF(E3+F3=0, 0, IF(G3=3600, IF(E3=F3,1,(E3-F3)/E3*100), 0)))</f>
        <v>0</v>
      </c>
    </row>
    <row r="4" spans="1:13" x14ac:dyDescent="0.3">
      <c r="A4">
        <v>30</v>
      </c>
      <c r="B4">
        <v>2</v>
      </c>
      <c r="C4" s="1">
        <v>20</v>
      </c>
      <c r="D4">
        <v>1.1499999999999999</v>
      </c>
      <c r="E4">
        <v>2</v>
      </c>
      <c r="F4">
        <v>2</v>
      </c>
      <c r="G4">
        <v>9.7000000000000003E-2</v>
      </c>
      <c r="H4">
        <v>0</v>
      </c>
      <c r="I4">
        <v>0</v>
      </c>
      <c r="J4" s="1">
        <v>1</v>
      </c>
      <c r="L4">
        <f t="shared" si="0"/>
        <v>0</v>
      </c>
    </row>
    <row r="5" spans="1:13" x14ac:dyDescent="0.3">
      <c r="A5">
        <v>30</v>
      </c>
      <c r="B5">
        <v>2</v>
      </c>
      <c r="C5" s="1">
        <v>30</v>
      </c>
      <c r="D5">
        <v>1.1499999999999999</v>
      </c>
      <c r="E5">
        <v>2</v>
      </c>
      <c r="F5">
        <v>2</v>
      </c>
      <c r="G5">
        <v>0.11600000000000001</v>
      </c>
      <c r="H5">
        <v>0</v>
      </c>
      <c r="I5">
        <v>0</v>
      </c>
      <c r="J5" s="1">
        <v>1</v>
      </c>
      <c r="L5">
        <f t="shared" si="0"/>
        <v>0</v>
      </c>
    </row>
    <row r="6" spans="1:13" x14ac:dyDescent="0.3">
      <c r="A6">
        <v>30</v>
      </c>
      <c r="B6">
        <v>2</v>
      </c>
      <c r="C6" s="1">
        <v>40</v>
      </c>
      <c r="D6">
        <v>1.1499999999999999</v>
      </c>
      <c r="E6">
        <v>2</v>
      </c>
      <c r="F6">
        <v>2</v>
      </c>
      <c r="G6">
        <v>8.3000000000000004E-2</v>
      </c>
      <c r="H6">
        <v>0</v>
      </c>
      <c r="I6">
        <v>0</v>
      </c>
      <c r="J6" s="1">
        <v>1</v>
      </c>
      <c r="L6">
        <f t="shared" si="0"/>
        <v>0</v>
      </c>
    </row>
    <row r="7" spans="1:13" x14ac:dyDescent="0.3">
      <c r="A7">
        <v>30</v>
      </c>
      <c r="B7">
        <v>2</v>
      </c>
      <c r="C7" s="1">
        <v>50</v>
      </c>
      <c r="D7">
        <v>1.1499999999999999</v>
      </c>
      <c r="E7">
        <v>2</v>
      </c>
      <c r="F7">
        <v>2</v>
      </c>
      <c r="G7">
        <v>7.0000000000000007E-2</v>
      </c>
      <c r="H7">
        <v>0</v>
      </c>
      <c r="I7">
        <v>0</v>
      </c>
      <c r="J7" s="1">
        <v>1</v>
      </c>
      <c r="L7">
        <f t="shared" si="0"/>
        <v>0</v>
      </c>
    </row>
    <row r="8" spans="1:13" x14ac:dyDescent="0.3">
      <c r="A8">
        <v>30</v>
      </c>
      <c r="B8">
        <v>2</v>
      </c>
      <c r="C8" s="1">
        <v>60</v>
      </c>
      <c r="D8">
        <v>1.1499999999999999</v>
      </c>
      <c r="E8">
        <v>2</v>
      </c>
      <c r="F8">
        <v>2</v>
      </c>
      <c r="G8">
        <v>6.9000000000000006E-2</v>
      </c>
      <c r="H8">
        <v>0</v>
      </c>
      <c r="I8">
        <v>0</v>
      </c>
      <c r="J8" s="1">
        <v>1</v>
      </c>
      <c r="L8">
        <f t="shared" si="0"/>
        <v>0</v>
      </c>
    </row>
    <row r="9" spans="1:13" x14ac:dyDescent="0.3">
      <c r="A9">
        <v>30</v>
      </c>
      <c r="B9">
        <v>2</v>
      </c>
      <c r="C9" s="1">
        <v>70</v>
      </c>
      <c r="D9">
        <v>1.1499999999999999</v>
      </c>
      <c r="E9">
        <v>2</v>
      </c>
      <c r="F9">
        <v>2</v>
      </c>
      <c r="G9">
        <v>8.3000000000000004E-2</v>
      </c>
      <c r="H9">
        <v>0</v>
      </c>
      <c r="I9">
        <v>0</v>
      </c>
      <c r="J9" s="1">
        <v>1</v>
      </c>
      <c r="L9">
        <f t="shared" si="0"/>
        <v>0</v>
      </c>
    </row>
    <row r="10" spans="1:13" x14ac:dyDescent="0.3">
      <c r="A10">
        <v>30</v>
      </c>
      <c r="B10">
        <v>2</v>
      </c>
      <c r="C10" s="1">
        <v>80</v>
      </c>
      <c r="D10">
        <v>1.1499999999999999</v>
      </c>
      <c r="E10">
        <v>2</v>
      </c>
      <c r="F10">
        <v>2</v>
      </c>
      <c r="G10">
        <v>9.9000000000000005E-2</v>
      </c>
      <c r="H10">
        <v>0</v>
      </c>
      <c r="I10">
        <v>0</v>
      </c>
      <c r="J10" s="1">
        <v>1</v>
      </c>
      <c r="L10">
        <f t="shared" si="0"/>
        <v>0</v>
      </c>
    </row>
    <row r="11" spans="1:13" x14ac:dyDescent="0.3">
      <c r="A11">
        <v>30</v>
      </c>
      <c r="B11">
        <v>2</v>
      </c>
      <c r="C11" s="1">
        <v>90</v>
      </c>
      <c r="D11">
        <v>1.1499999999999999</v>
      </c>
      <c r="E11">
        <v>2</v>
      </c>
      <c r="F11">
        <v>2</v>
      </c>
      <c r="G11">
        <v>7.6999999999999999E-2</v>
      </c>
      <c r="H11">
        <v>0</v>
      </c>
      <c r="I11">
        <v>0</v>
      </c>
      <c r="J11" s="1">
        <v>1</v>
      </c>
      <c r="L11">
        <f t="shared" si="0"/>
        <v>0</v>
      </c>
    </row>
    <row r="12" spans="1:13" s="2" customFormat="1" x14ac:dyDescent="0.3">
      <c r="A12" s="2">
        <v>30</v>
      </c>
      <c r="B12" s="2">
        <v>2</v>
      </c>
      <c r="C12" s="3">
        <v>100</v>
      </c>
      <c r="D12" s="2">
        <v>1.1499999999999999</v>
      </c>
      <c r="E12" s="2">
        <v>2</v>
      </c>
      <c r="F12" s="2">
        <v>2</v>
      </c>
      <c r="G12" s="2">
        <v>0.09</v>
      </c>
      <c r="H12" s="2">
        <v>0</v>
      </c>
      <c r="I12" s="2">
        <v>0</v>
      </c>
      <c r="J12" s="3">
        <v>1</v>
      </c>
      <c r="K12" s="5">
        <f>AVERAGE(G3:G12)</f>
        <v>8.6499999999999994E-2</v>
      </c>
      <c r="L12" s="2">
        <f t="shared" si="0"/>
        <v>0</v>
      </c>
    </row>
    <row r="13" spans="1:13" x14ac:dyDescent="0.3">
      <c r="A13">
        <v>30</v>
      </c>
      <c r="B13">
        <v>3</v>
      </c>
      <c r="C13" s="1">
        <v>10</v>
      </c>
      <c r="D13">
        <v>1.1499999999999999</v>
      </c>
      <c r="E13">
        <v>1</v>
      </c>
      <c r="F13">
        <v>1</v>
      </c>
      <c r="G13">
        <v>0.109</v>
      </c>
      <c r="H13">
        <v>0</v>
      </c>
      <c r="I13">
        <v>0</v>
      </c>
      <c r="J13" s="1">
        <v>1</v>
      </c>
      <c r="L13">
        <f t="shared" si="0"/>
        <v>0</v>
      </c>
    </row>
    <row r="14" spans="1:13" x14ac:dyDescent="0.3">
      <c r="A14">
        <v>30</v>
      </c>
      <c r="B14">
        <v>3</v>
      </c>
      <c r="C14" s="1">
        <v>20</v>
      </c>
      <c r="D14">
        <v>1.1499999999999999</v>
      </c>
      <c r="E14">
        <v>1</v>
      </c>
      <c r="F14">
        <v>1</v>
      </c>
      <c r="G14">
        <v>0.13100000000000001</v>
      </c>
      <c r="H14">
        <v>0</v>
      </c>
      <c r="I14">
        <v>0</v>
      </c>
      <c r="J14" s="1">
        <v>1</v>
      </c>
      <c r="L14">
        <f t="shared" si="0"/>
        <v>0</v>
      </c>
    </row>
    <row r="15" spans="1:13" x14ac:dyDescent="0.3">
      <c r="A15">
        <v>30</v>
      </c>
      <c r="B15">
        <v>3</v>
      </c>
      <c r="C15" s="1">
        <v>30</v>
      </c>
      <c r="D15">
        <v>1.1499999999999999</v>
      </c>
      <c r="E15">
        <v>1</v>
      </c>
      <c r="F15">
        <v>1</v>
      </c>
      <c r="G15">
        <v>0.124</v>
      </c>
      <c r="H15">
        <v>0</v>
      </c>
      <c r="I15">
        <v>0</v>
      </c>
      <c r="J15" s="1">
        <v>1</v>
      </c>
      <c r="L15">
        <f t="shared" si="0"/>
        <v>0</v>
      </c>
    </row>
    <row r="16" spans="1:13" x14ac:dyDescent="0.3">
      <c r="A16">
        <v>30</v>
      </c>
      <c r="B16">
        <v>3</v>
      </c>
      <c r="C16" s="1">
        <v>40</v>
      </c>
      <c r="D16">
        <v>1.1499999999999999</v>
      </c>
      <c r="E16">
        <v>1</v>
      </c>
      <c r="F16">
        <v>1</v>
      </c>
      <c r="G16">
        <v>8.6999999999999994E-2</v>
      </c>
      <c r="H16">
        <v>0</v>
      </c>
      <c r="I16">
        <v>0</v>
      </c>
      <c r="J16" s="1">
        <v>1</v>
      </c>
      <c r="L16">
        <f t="shared" si="0"/>
        <v>0</v>
      </c>
    </row>
    <row r="17" spans="1:12" x14ac:dyDescent="0.3">
      <c r="A17">
        <v>30</v>
      </c>
      <c r="B17">
        <v>3</v>
      </c>
      <c r="C17" s="1">
        <v>50</v>
      </c>
      <c r="D17">
        <v>1.1499999999999999</v>
      </c>
      <c r="E17">
        <v>1</v>
      </c>
      <c r="F17">
        <v>1</v>
      </c>
      <c r="G17">
        <v>0.107</v>
      </c>
      <c r="H17">
        <v>0</v>
      </c>
      <c r="I17">
        <v>0</v>
      </c>
      <c r="J17" s="1">
        <v>1</v>
      </c>
      <c r="L17">
        <f t="shared" si="0"/>
        <v>0</v>
      </c>
    </row>
    <row r="18" spans="1:12" x14ac:dyDescent="0.3">
      <c r="A18">
        <v>30</v>
      </c>
      <c r="B18">
        <v>3</v>
      </c>
      <c r="C18" s="1">
        <v>60</v>
      </c>
      <c r="D18">
        <v>1.1499999999999999</v>
      </c>
      <c r="E18">
        <v>1</v>
      </c>
      <c r="F18">
        <v>1</v>
      </c>
      <c r="G18">
        <v>9.2999999999999999E-2</v>
      </c>
      <c r="H18">
        <v>0</v>
      </c>
      <c r="I18">
        <v>0</v>
      </c>
      <c r="J18" s="1">
        <v>1</v>
      </c>
      <c r="L18">
        <f t="shared" si="0"/>
        <v>0</v>
      </c>
    </row>
    <row r="19" spans="1:12" x14ac:dyDescent="0.3">
      <c r="A19">
        <v>30</v>
      </c>
      <c r="B19">
        <v>3</v>
      </c>
      <c r="C19" s="1">
        <v>70</v>
      </c>
      <c r="D19">
        <v>1.1499999999999999</v>
      </c>
      <c r="E19">
        <v>1</v>
      </c>
      <c r="F19">
        <v>1</v>
      </c>
      <c r="G19">
        <v>0.107</v>
      </c>
      <c r="H19">
        <v>0</v>
      </c>
      <c r="I19">
        <v>0</v>
      </c>
      <c r="J19" s="1">
        <v>1</v>
      </c>
      <c r="L19">
        <f t="shared" si="0"/>
        <v>0</v>
      </c>
    </row>
    <row r="20" spans="1:12" x14ac:dyDescent="0.3">
      <c r="A20">
        <v>30</v>
      </c>
      <c r="B20">
        <v>3</v>
      </c>
      <c r="C20" s="1">
        <v>80</v>
      </c>
      <c r="D20">
        <v>1.1499999999999999</v>
      </c>
      <c r="E20">
        <v>1</v>
      </c>
      <c r="F20">
        <v>1</v>
      </c>
      <c r="G20">
        <v>0.122</v>
      </c>
      <c r="H20">
        <v>0</v>
      </c>
      <c r="I20">
        <v>0</v>
      </c>
      <c r="J20" s="1">
        <v>1</v>
      </c>
      <c r="L20">
        <f t="shared" si="0"/>
        <v>0</v>
      </c>
    </row>
    <row r="21" spans="1:12" x14ac:dyDescent="0.3">
      <c r="A21">
        <v>30</v>
      </c>
      <c r="B21">
        <v>3</v>
      </c>
      <c r="C21" s="1">
        <v>90</v>
      </c>
      <c r="D21">
        <v>1.1499999999999999</v>
      </c>
      <c r="E21">
        <v>1</v>
      </c>
      <c r="F21">
        <v>1</v>
      </c>
      <c r="G21">
        <v>0.108</v>
      </c>
      <c r="H21">
        <v>0</v>
      </c>
      <c r="I21">
        <v>0</v>
      </c>
      <c r="J21" s="1">
        <v>1</v>
      </c>
      <c r="L21">
        <f t="shared" si="0"/>
        <v>0</v>
      </c>
    </row>
    <row r="22" spans="1:12" s="2" customFormat="1" x14ac:dyDescent="0.3">
      <c r="A22" s="2">
        <v>30</v>
      </c>
      <c r="B22" s="2">
        <v>3</v>
      </c>
      <c r="C22" s="3">
        <v>100</v>
      </c>
      <c r="D22" s="2">
        <v>1.1499999999999999</v>
      </c>
      <c r="E22" s="2">
        <v>1</v>
      </c>
      <c r="F22" s="2">
        <v>1</v>
      </c>
      <c r="G22" s="2">
        <v>9.2999999999999999E-2</v>
      </c>
      <c r="H22" s="2">
        <v>0</v>
      </c>
      <c r="I22" s="2">
        <v>0</v>
      </c>
      <c r="J22" s="3">
        <v>1</v>
      </c>
      <c r="K22" s="5">
        <f>AVERAGE(G13:G22)</f>
        <v>0.1081</v>
      </c>
      <c r="L22" s="2">
        <f t="shared" si="0"/>
        <v>0</v>
      </c>
    </row>
    <row r="23" spans="1:12" x14ac:dyDescent="0.3">
      <c r="A23">
        <v>30</v>
      </c>
      <c r="B23">
        <v>4</v>
      </c>
      <c r="C23" s="1">
        <v>10</v>
      </c>
      <c r="D23">
        <v>1.1499999999999999</v>
      </c>
      <c r="E23">
        <v>0</v>
      </c>
      <c r="F23">
        <v>0</v>
      </c>
      <c r="G23">
        <v>6.0999999999999999E-2</v>
      </c>
      <c r="H23">
        <v>0</v>
      </c>
      <c r="I23">
        <v>0</v>
      </c>
      <c r="J23" s="1">
        <v>1</v>
      </c>
      <c r="L23">
        <f t="shared" si="0"/>
        <v>0</v>
      </c>
    </row>
    <row r="24" spans="1:12" x14ac:dyDescent="0.3">
      <c r="A24">
        <v>30</v>
      </c>
      <c r="B24">
        <v>4</v>
      </c>
      <c r="C24" s="1">
        <v>20</v>
      </c>
      <c r="D24">
        <v>1.1499999999999999</v>
      </c>
      <c r="E24">
        <v>0</v>
      </c>
      <c r="F24">
        <v>0</v>
      </c>
      <c r="G24">
        <v>0.06</v>
      </c>
      <c r="H24">
        <v>0</v>
      </c>
      <c r="I24">
        <v>0</v>
      </c>
      <c r="J24" s="1">
        <v>1</v>
      </c>
      <c r="L24">
        <f t="shared" si="0"/>
        <v>0</v>
      </c>
    </row>
    <row r="25" spans="1:12" x14ac:dyDescent="0.3">
      <c r="A25">
        <v>30</v>
      </c>
      <c r="B25">
        <v>4</v>
      </c>
      <c r="C25" s="1">
        <v>30</v>
      </c>
      <c r="D25">
        <v>1.1499999999999999</v>
      </c>
      <c r="E25">
        <v>0</v>
      </c>
      <c r="F25">
        <v>0</v>
      </c>
      <c r="G25">
        <v>8.5999999999999993E-2</v>
      </c>
      <c r="H25">
        <v>0</v>
      </c>
      <c r="I25">
        <v>0</v>
      </c>
      <c r="J25" s="1">
        <v>1</v>
      </c>
      <c r="L25">
        <f t="shared" si="0"/>
        <v>0</v>
      </c>
    </row>
    <row r="26" spans="1:12" x14ac:dyDescent="0.3">
      <c r="A26">
        <v>30</v>
      </c>
      <c r="B26">
        <v>4</v>
      </c>
      <c r="C26" s="1">
        <v>40</v>
      </c>
      <c r="D26">
        <v>1.1499999999999999</v>
      </c>
      <c r="E26">
        <v>0</v>
      </c>
      <c r="F26">
        <v>0</v>
      </c>
      <c r="G26">
        <v>9.0999999999999998E-2</v>
      </c>
      <c r="H26">
        <v>0</v>
      </c>
      <c r="I26">
        <v>0</v>
      </c>
      <c r="J26" s="1">
        <v>1</v>
      </c>
      <c r="L26">
        <f t="shared" si="0"/>
        <v>0</v>
      </c>
    </row>
    <row r="27" spans="1:12" x14ac:dyDescent="0.3">
      <c r="A27">
        <v>30</v>
      </c>
      <c r="B27">
        <v>4</v>
      </c>
      <c r="C27" s="1">
        <v>50</v>
      </c>
      <c r="D27">
        <v>1.1499999999999999</v>
      </c>
      <c r="E27">
        <v>0</v>
      </c>
      <c r="F27">
        <v>0</v>
      </c>
      <c r="G27">
        <v>6.2E-2</v>
      </c>
      <c r="H27">
        <v>0</v>
      </c>
      <c r="I27">
        <v>0</v>
      </c>
      <c r="J27" s="1">
        <v>1</v>
      </c>
      <c r="L27">
        <f t="shared" si="0"/>
        <v>0</v>
      </c>
    </row>
    <row r="28" spans="1:12" x14ac:dyDescent="0.3">
      <c r="A28">
        <v>30</v>
      </c>
      <c r="B28">
        <v>4</v>
      </c>
      <c r="C28" s="1">
        <v>60</v>
      </c>
      <c r="D28">
        <v>1.1499999999999999</v>
      </c>
      <c r="E28">
        <v>0</v>
      </c>
      <c r="F28">
        <v>0</v>
      </c>
      <c r="G28">
        <v>0.09</v>
      </c>
      <c r="H28">
        <v>0</v>
      </c>
      <c r="I28">
        <v>0</v>
      </c>
      <c r="J28" s="1">
        <v>1</v>
      </c>
      <c r="L28">
        <f t="shared" si="0"/>
        <v>0</v>
      </c>
    </row>
    <row r="29" spans="1:12" x14ac:dyDescent="0.3">
      <c r="A29">
        <v>30</v>
      </c>
      <c r="B29">
        <v>4</v>
      </c>
      <c r="C29" s="1">
        <v>70</v>
      </c>
      <c r="D29">
        <v>1.1499999999999999</v>
      </c>
      <c r="E29">
        <v>0</v>
      </c>
      <c r="F29">
        <v>0</v>
      </c>
      <c r="G29">
        <v>7.9000000000000001E-2</v>
      </c>
      <c r="H29">
        <v>0</v>
      </c>
      <c r="I29">
        <v>0</v>
      </c>
      <c r="J29" s="1">
        <v>1</v>
      </c>
      <c r="L29">
        <f t="shared" si="0"/>
        <v>0</v>
      </c>
    </row>
    <row r="30" spans="1:12" x14ac:dyDescent="0.3">
      <c r="A30">
        <v>30</v>
      </c>
      <c r="B30">
        <v>4</v>
      </c>
      <c r="C30" s="1">
        <v>80</v>
      </c>
      <c r="D30">
        <v>1.1499999999999999</v>
      </c>
      <c r="E30">
        <v>0</v>
      </c>
      <c r="F30">
        <v>0</v>
      </c>
      <c r="G30">
        <v>6.2E-2</v>
      </c>
      <c r="H30">
        <v>0</v>
      </c>
      <c r="I30">
        <v>0</v>
      </c>
      <c r="J30" s="1">
        <v>1</v>
      </c>
      <c r="L30">
        <f t="shared" si="0"/>
        <v>0</v>
      </c>
    </row>
    <row r="31" spans="1:12" x14ac:dyDescent="0.3">
      <c r="A31">
        <v>30</v>
      </c>
      <c r="B31">
        <v>4</v>
      </c>
      <c r="C31" s="1">
        <v>90</v>
      </c>
      <c r="D31">
        <v>1.1499999999999999</v>
      </c>
      <c r="E31">
        <v>0</v>
      </c>
      <c r="F31">
        <v>0</v>
      </c>
      <c r="G31">
        <v>7.8E-2</v>
      </c>
      <c r="H31">
        <v>0</v>
      </c>
      <c r="I31">
        <v>0</v>
      </c>
      <c r="J31" s="1">
        <v>1</v>
      </c>
      <c r="L31">
        <f t="shared" si="0"/>
        <v>0</v>
      </c>
    </row>
    <row r="32" spans="1:12" s="2" customFormat="1" x14ac:dyDescent="0.3">
      <c r="A32" s="2">
        <v>30</v>
      </c>
      <c r="B32" s="2">
        <v>4</v>
      </c>
      <c r="C32" s="3">
        <v>100</v>
      </c>
      <c r="D32" s="2">
        <v>1.1499999999999999</v>
      </c>
      <c r="E32" s="2">
        <v>0</v>
      </c>
      <c r="F32" s="2">
        <v>0</v>
      </c>
      <c r="G32" s="2">
        <v>7.5999999999999998E-2</v>
      </c>
      <c r="H32" s="2">
        <v>0</v>
      </c>
      <c r="I32" s="2">
        <v>0</v>
      </c>
      <c r="J32" s="3">
        <v>1</v>
      </c>
      <c r="K32" s="5">
        <f>AVERAGE(G23:G32)</f>
        <v>7.4499999999999983E-2</v>
      </c>
      <c r="L32" s="2">
        <f t="shared" si="0"/>
        <v>0</v>
      </c>
    </row>
    <row r="33" spans="1:12" x14ac:dyDescent="0.3">
      <c r="A33">
        <v>30</v>
      </c>
      <c r="B33">
        <v>5</v>
      </c>
      <c r="C33" s="1">
        <v>10</v>
      </c>
      <c r="D33">
        <v>1.1499999999999999</v>
      </c>
      <c r="E33">
        <v>0</v>
      </c>
      <c r="F33">
        <v>0</v>
      </c>
      <c r="G33">
        <v>6.2E-2</v>
      </c>
      <c r="H33">
        <v>0</v>
      </c>
      <c r="I33">
        <v>0</v>
      </c>
      <c r="J33" s="1">
        <v>1</v>
      </c>
      <c r="L33">
        <f t="shared" si="0"/>
        <v>0</v>
      </c>
    </row>
    <row r="34" spans="1:12" x14ac:dyDescent="0.3">
      <c r="A34">
        <v>30</v>
      </c>
      <c r="B34">
        <v>5</v>
      </c>
      <c r="C34" s="1">
        <v>20</v>
      </c>
      <c r="D34">
        <v>1.1499999999999999</v>
      </c>
      <c r="E34">
        <v>0</v>
      </c>
      <c r="F34">
        <v>0</v>
      </c>
      <c r="G34">
        <v>5.8999999999999997E-2</v>
      </c>
      <c r="H34">
        <v>0</v>
      </c>
      <c r="I34">
        <v>0</v>
      </c>
      <c r="J34" s="1">
        <v>1</v>
      </c>
      <c r="L34">
        <f t="shared" si="0"/>
        <v>0</v>
      </c>
    </row>
    <row r="35" spans="1:12" x14ac:dyDescent="0.3">
      <c r="A35">
        <v>30</v>
      </c>
      <c r="B35">
        <v>5</v>
      </c>
      <c r="C35" s="1">
        <v>30</v>
      </c>
      <c r="D35">
        <v>1.1499999999999999</v>
      </c>
      <c r="E35">
        <v>0</v>
      </c>
      <c r="F35">
        <v>0</v>
      </c>
      <c r="G35">
        <v>6.2E-2</v>
      </c>
      <c r="H35">
        <v>0</v>
      </c>
      <c r="I35">
        <v>0</v>
      </c>
      <c r="J35" s="1">
        <v>1</v>
      </c>
      <c r="L35">
        <f t="shared" si="0"/>
        <v>0</v>
      </c>
    </row>
    <row r="36" spans="1:12" x14ac:dyDescent="0.3">
      <c r="A36">
        <v>30</v>
      </c>
      <c r="B36">
        <v>5</v>
      </c>
      <c r="C36" s="1">
        <v>40</v>
      </c>
      <c r="D36">
        <v>1.1499999999999999</v>
      </c>
      <c r="E36">
        <v>0</v>
      </c>
      <c r="F36">
        <v>0</v>
      </c>
      <c r="G36">
        <v>0.06</v>
      </c>
      <c r="H36">
        <v>0</v>
      </c>
      <c r="I36">
        <v>0</v>
      </c>
      <c r="J36" s="1">
        <v>1</v>
      </c>
      <c r="L36">
        <f t="shared" si="0"/>
        <v>0</v>
      </c>
    </row>
    <row r="37" spans="1:12" x14ac:dyDescent="0.3">
      <c r="A37">
        <v>30</v>
      </c>
      <c r="B37">
        <v>5</v>
      </c>
      <c r="C37" s="1">
        <v>50</v>
      </c>
      <c r="D37">
        <v>1.1499999999999999</v>
      </c>
      <c r="E37">
        <v>0</v>
      </c>
      <c r="F37">
        <v>0</v>
      </c>
      <c r="G37">
        <v>6.2E-2</v>
      </c>
      <c r="H37">
        <v>0</v>
      </c>
      <c r="I37">
        <v>0</v>
      </c>
      <c r="J37" s="1">
        <v>1</v>
      </c>
      <c r="L37">
        <f t="shared" si="0"/>
        <v>0</v>
      </c>
    </row>
    <row r="38" spans="1:12" x14ac:dyDescent="0.3">
      <c r="A38">
        <v>30</v>
      </c>
      <c r="B38">
        <v>5</v>
      </c>
      <c r="C38" s="1">
        <v>60</v>
      </c>
      <c r="D38">
        <v>1.1499999999999999</v>
      </c>
      <c r="E38">
        <v>0</v>
      </c>
      <c r="F38">
        <v>0</v>
      </c>
      <c r="G38">
        <v>6.0999999999999999E-2</v>
      </c>
      <c r="H38">
        <v>1</v>
      </c>
      <c r="I38">
        <v>1</v>
      </c>
      <c r="J38" s="1">
        <v>1</v>
      </c>
      <c r="L38">
        <f t="shared" si="0"/>
        <v>0</v>
      </c>
    </row>
    <row r="39" spans="1:12" x14ac:dyDescent="0.3">
      <c r="A39">
        <v>30</v>
      </c>
      <c r="B39">
        <v>5</v>
      </c>
      <c r="C39" s="1">
        <v>70</v>
      </c>
      <c r="D39">
        <v>1.1499999999999999</v>
      </c>
      <c r="E39">
        <v>0</v>
      </c>
      <c r="F39">
        <v>0</v>
      </c>
      <c r="G39">
        <v>6.0999999999999999E-2</v>
      </c>
      <c r="H39">
        <v>0</v>
      </c>
      <c r="I39">
        <v>0</v>
      </c>
      <c r="J39" s="1">
        <v>1</v>
      </c>
      <c r="L39">
        <f t="shared" si="0"/>
        <v>0</v>
      </c>
    </row>
    <row r="40" spans="1:12" x14ac:dyDescent="0.3">
      <c r="A40">
        <v>30</v>
      </c>
      <c r="B40">
        <v>5</v>
      </c>
      <c r="C40" s="1">
        <v>80</v>
      </c>
      <c r="D40">
        <v>1.1499999999999999</v>
      </c>
      <c r="E40">
        <v>0</v>
      </c>
      <c r="F40">
        <v>0</v>
      </c>
      <c r="G40">
        <v>6.0999999999999999E-2</v>
      </c>
      <c r="H40">
        <v>0</v>
      </c>
      <c r="I40">
        <v>0</v>
      </c>
      <c r="J40" s="1">
        <v>1</v>
      </c>
      <c r="L40">
        <f t="shared" si="0"/>
        <v>0</v>
      </c>
    </row>
    <row r="41" spans="1:12" x14ac:dyDescent="0.3">
      <c r="A41">
        <v>30</v>
      </c>
      <c r="B41">
        <v>5</v>
      </c>
      <c r="C41" s="1">
        <v>90</v>
      </c>
      <c r="D41">
        <v>1.1499999999999999</v>
      </c>
      <c r="E41">
        <v>0</v>
      </c>
      <c r="F41">
        <v>0</v>
      </c>
      <c r="G41">
        <v>6.0999999999999999E-2</v>
      </c>
      <c r="H41">
        <v>0</v>
      </c>
      <c r="I41">
        <v>0</v>
      </c>
      <c r="J41" s="1">
        <v>1</v>
      </c>
      <c r="L41">
        <f t="shared" si="0"/>
        <v>0</v>
      </c>
    </row>
    <row r="42" spans="1:12" s="2" customFormat="1" x14ac:dyDescent="0.3">
      <c r="A42" s="2">
        <v>30</v>
      </c>
      <c r="B42" s="2">
        <v>5</v>
      </c>
      <c r="C42" s="3">
        <v>100</v>
      </c>
      <c r="D42" s="2">
        <v>1.1499999999999999</v>
      </c>
      <c r="E42" s="2">
        <v>0</v>
      </c>
      <c r="F42" s="2">
        <v>0</v>
      </c>
      <c r="G42" s="2">
        <v>6.2E-2</v>
      </c>
      <c r="H42" s="2">
        <v>1</v>
      </c>
      <c r="I42" s="2">
        <v>1</v>
      </c>
      <c r="J42" s="3">
        <v>1</v>
      </c>
      <c r="K42" s="5">
        <f>AVERAGE(G33:G42)</f>
        <v>6.1100000000000002E-2</v>
      </c>
      <c r="L42" s="2">
        <f t="shared" si="0"/>
        <v>0</v>
      </c>
    </row>
    <row r="43" spans="1:12" x14ac:dyDescent="0.3">
      <c r="A43">
        <v>40</v>
      </c>
      <c r="B43">
        <v>2</v>
      </c>
      <c r="C43" s="1">
        <v>10</v>
      </c>
      <c r="D43">
        <v>1.1499999999999999</v>
      </c>
      <c r="E43">
        <v>4</v>
      </c>
      <c r="F43">
        <v>4</v>
      </c>
      <c r="G43">
        <v>0.622</v>
      </c>
      <c r="H43">
        <v>0</v>
      </c>
      <c r="I43">
        <v>0</v>
      </c>
      <c r="J43" s="1">
        <v>1</v>
      </c>
      <c r="L43">
        <f t="shared" si="0"/>
        <v>0</v>
      </c>
    </row>
    <row r="44" spans="1:12" x14ac:dyDescent="0.3">
      <c r="A44">
        <v>40</v>
      </c>
      <c r="B44">
        <v>2</v>
      </c>
      <c r="C44" s="1">
        <v>20</v>
      </c>
      <c r="D44">
        <v>1.1499999999999999</v>
      </c>
      <c r="E44">
        <v>4</v>
      </c>
      <c r="F44">
        <v>4</v>
      </c>
      <c r="G44">
        <v>0.61299999999999999</v>
      </c>
      <c r="H44">
        <v>0</v>
      </c>
      <c r="I44">
        <v>0</v>
      </c>
      <c r="J44" s="1">
        <v>1</v>
      </c>
      <c r="L44">
        <f t="shared" si="0"/>
        <v>0</v>
      </c>
    </row>
    <row r="45" spans="1:12" x14ac:dyDescent="0.3">
      <c r="A45">
        <v>40</v>
      </c>
      <c r="B45">
        <v>2</v>
      </c>
      <c r="C45" s="1">
        <v>30</v>
      </c>
      <c r="D45">
        <v>1.1499999999999999</v>
      </c>
      <c r="E45">
        <v>4</v>
      </c>
      <c r="F45">
        <v>4</v>
      </c>
      <c r="G45">
        <v>0.64400000000000002</v>
      </c>
      <c r="H45">
        <v>0</v>
      </c>
      <c r="I45">
        <v>0</v>
      </c>
      <c r="J45" s="1">
        <v>1</v>
      </c>
      <c r="L45">
        <f t="shared" si="0"/>
        <v>0</v>
      </c>
    </row>
    <row r="46" spans="1:12" x14ac:dyDescent="0.3">
      <c r="A46">
        <v>40</v>
      </c>
      <c r="B46">
        <v>2</v>
      </c>
      <c r="C46" s="1">
        <v>40</v>
      </c>
      <c r="D46">
        <v>1.1499999999999999</v>
      </c>
      <c r="E46">
        <v>4</v>
      </c>
      <c r="F46">
        <v>4</v>
      </c>
      <c r="G46">
        <v>0.59899999999999998</v>
      </c>
      <c r="H46">
        <v>0</v>
      </c>
      <c r="I46">
        <v>0</v>
      </c>
      <c r="J46" s="1">
        <v>1</v>
      </c>
      <c r="L46">
        <f t="shared" si="0"/>
        <v>0</v>
      </c>
    </row>
    <row r="47" spans="1:12" x14ac:dyDescent="0.3">
      <c r="A47">
        <v>40</v>
      </c>
      <c r="B47">
        <v>2</v>
      </c>
      <c r="C47" s="1">
        <v>50</v>
      </c>
      <c r="D47">
        <v>1.1499999999999999</v>
      </c>
      <c r="E47">
        <v>4</v>
      </c>
      <c r="F47">
        <v>4</v>
      </c>
      <c r="G47">
        <v>0.52</v>
      </c>
      <c r="H47">
        <v>0</v>
      </c>
      <c r="I47">
        <v>0</v>
      </c>
      <c r="J47" s="1">
        <v>1</v>
      </c>
      <c r="L47">
        <f t="shared" si="0"/>
        <v>0</v>
      </c>
    </row>
    <row r="48" spans="1:12" x14ac:dyDescent="0.3">
      <c r="A48">
        <v>40</v>
      </c>
      <c r="B48">
        <v>2</v>
      </c>
      <c r="C48" s="1">
        <v>60</v>
      </c>
      <c r="D48">
        <v>1.1499999999999999</v>
      </c>
      <c r="E48">
        <v>4</v>
      </c>
      <c r="F48">
        <v>4</v>
      </c>
      <c r="G48">
        <v>0.59799999999999998</v>
      </c>
      <c r="H48">
        <v>0</v>
      </c>
      <c r="I48">
        <v>0</v>
      </c>
      <c r="J48" s="1">
        <v>1</v>
      </c>
      <c r="L48">
        <f t="shared" si="0"/>
        <v>0</v>
      </c>
    </row>
    <row r="49" spans="1:12" x14ac:dyDescent="0.3">
      <c r="A49">
        <v>40</v>
      </c>
      <c r="B49">
        <v>2</v>
      </c>
      <c r="C49" s="1">
        <v>70</v>
      </c>
      <c r="D49">
        <v>1.1499999999999999</v>
      </c>
      <c r="E49">
        <v>4</v>
      </c>
      <c r="F49">
        <v>4</v>
      </c>
      <c r="G49">
        <v>0.61399999999999999</v>
      </c>
      <c r="H49">
        <v>0</v>
      </c>
      <c r="I49">
        <v>0</v>
      </c>
      <c r="J49" s="1">
        <v>1</v>
      </c>
      <c r="L49">
        <f t="shared" si="0"/>
        <v>0</v>
      </c>
    </row>
    <row r="50" spans="1:12" x14ac:dyDescent="0.3">
      <c r="A50">
        <v>40</v>
      </c>
      <c r="B50">
        <v>2</v>
      </c>
      <c r="C50" s="1">
        <v>80</v>
      </c>
      <c r="D50">
        <v>1.1499999999999999</v>
      </c>
      <c r="E50">
        <v>4</v>
      </c>
      <c r="F50">
        <v>4</v>
      </c>
      <c r="G50">
        <v>0.65</v>
      </c>
      <c r="H50">
        <v>0</v>
      </c>
      <c r="I50">
        <v>0</v>
      </c>
      <c r="J50" s="1">
        <v>1</v>
      </c>
      <c r="L50">
        <f t="shared" si="0"/>
        <v>0</v>
      </c>
    </row>
    <row r="51" spans="1:12" x14ac:dyDescent="0.3">
      <c r="A51">
        <v>40</v>
      </c>
      <c r="B51">
        <v>2</v>
      </c>
      <c r="C51" s="1">
        <v>90</v>
      </c>
      <c r="D51">
        <v>1.1499999999999999</v>
      </c>
      <c r="E51">
        <v>4</v>
      </c>
      <c r="F51">
        <v>4</v>
      </c>
      <c r="G51">
        <v>0.55100000000000005</v>
      </c>
      <c r="H51">
        <v>0</v>
      </c>
      <c r="I51">
        <v>0</v>
      </c>
      <c r="J51" s="1">
        <v>1</v>
      </c>
      <c r="L51">
        <f t="shared" si="0"/>
        <v>0</v>
      </c>
    </row>
    <row r="52" spans="1:12" s="2" customFormat="1" x14ac:dyDescent="0.3">
      <c r="A52" s="2">
        <v>40</v>
      </c>
      <c r="B52" s="2">
        <v>2</v>
      </c>
      <c r="C52" s="3">
        <v>100</v>
      </c>
      <c r="D52" s="2">
        <v>1.1499999999999999</v>
      </c>
      <c r="E52" s="2">
        <v>4</v>
      </c>
      <c r="F52" s="2">
        <v>4</v>
      </c>
      <c r="G52" s="2">
        <v>0.56200000000000006</v>
      </c>
      <c r="H52" s="2">
        <v>0</v>
      </c>
      <c r="I52" s="2">
        <v>0</v>
      </c>
      <c r="J52" s="3">
        <v>1</v>
      </c>
      <c r="K52" s="5">
        <f>AVERAGE(G43:G52)</f>
        <v>0.59730000000000005</v>
      </c>
      <c r="L52" s="2">
        <f t="shared" si="0"/>
        <v>0</v>
      </c>
    </row>
    <row r="53" spans="1:12" x14ac:dyDescent="0.3">
      <c r="A53">
        <v>40</v>
      </c>
      <c r="B53">
        <v>3</v>
      </c>
      <c r="C53" s="1">
        <v>10</v>
      </c>
      <c r="D53">
        <v>1.1499999999999999</v>
      </c>
      <c r="E53">
        <v>3</v>
      </c>
      <c r="F53">
        <v>3</v>
      </c>
      <c r="G53">
        <v>0.48299999999999998</v>
      </c>
      <c r="H53">
        <v>0</v>
      </c>
      <c r="I53">
        <v>0</v>
      </c>
      <c r="J53" s="1">
        <v>1</v>
      </c>
      <c r="L53">
        <f t="shared" si="0"/>
        <v>0</v>
      </c>
    </row>
    <row r="54" spans="1:12" x14ac:dyDescent="0.3">
      <c r="A54">
        <v>40</v>
      </c>
      <c r="B54">
        <v>3</v>
      </c>
      <c r="C54" s="1">
        <v>20</v>
      </c>
      <c r="D54">
        <v>1.1499999999999999</v>
      </c>
      <c r="E54">
        <v>3</v>
      </c>
      <c r="F54">
        <v>3</v>
      </c>
      <c r="G54">
        <v>0.54</v>
      </c>
      <c r="H54">
        <v>0</v>
      </c>
      <c r="I54">
        <v>0</v>
      </c>
      <c r="J54" s="1">
        <v>1</v>
      </c>
      <c r="L54">
        <f t="shared" si="0"/>
        <v>0</v>
      </c>
    </row>
    <row r="55" spans="1:12" x14ac:dyDescent="0.3">
      <c r="A55">
        <v>40</v>
      </c>
      <c r="B55">
        <v>3</v>
      </c>
      <c r="C55" s="1">
        <v>30</v>
      </c>
      <c r="D55">
        <v>1.1499999999999999</v>
      </c>
      <c r="E55">
        <v>3</v>
      </c>
      <c r="F55">
        <v>3</v>
      </c>
      <c r="G55">
        <v>0.54200000000000004</v>
      </c>
      <c r="H55">
        <v>0</v>
      </c>
      <c r="I55">
        <v>0</v>
      </c>
      <c r="J55" s="1">
        <v>1</v>
      </c>
      <c r="L55">
        <f t="shared" si="0"/>
        <v>0</v>
      </c>
    </row>
    <row r="56" spans="1:12" x14ac:dyDescent="0.3">
      <c r="A56">
        <v>40</v>
      </c>
      <c r="B56">
        <v>3</v>
      </c>
      <c r="C56" s="1">
        <v>40</v>
      </c>
      <c r="D56">
        <v>1.1499999999999999</v>
      </c>
      <c r="E56">
        <v>3</v>
      </c>
      <c r="F56">
        <v>3</v>
      </c>
      <c r="G56">
        <v>0.56999999999999995</v>
      </c>
      <c r="H56">
        <v>0</v>
      </c>
      <c r="I56">
        <v>0</v>
      </c>
      <c r="J56" s="1">
        <v>1</v>
      </c>
      <c r="L56">
        <f t="shared" si="0"/>
        <v>0</v>
      </c>
    </row>
    <row r="57" spans="1:12" x14ac:dyDescent="0.3">
      <c r="A57">
        <v>40</v>
      </c>
      <c r="B57">
        <v>3</v>
      </c>
      <c r="C57" s="1">
        <v>50</v>
      </c>
      <c r="D57">
        <v>1.1499999999999999</v>
      </c>
      <c r="E57">
        <v>3</v>
      </c>
      <c r="F57">
        <v>3</v>
      </c>
      <c r="G57">
        <v>0.38600000000000001</v>
      </c>
      <c r="H57">
        <v>0</v>
      </c>
      <c r="I57">
        <v>0</v>
      </c>
      <c r="J57" s="1">
        <v>1</v>
      </c>
      <c r="L57">
        <f t="shared" si="0"/>
        <v>0</v>
      </c>
    </row>
    <row r="58" spans="1:12" x14ac:dyDescent="0.3">
      <c r="A58">
        <v>40</v>
      </c>
      <c r="B58">
        <v>3</v>
      </c>
      <c r="C58" s="1">
        <v>60</v>
      </c>
      <c r="D58">
        <v>1.1499999999999999</v>
      </c>
      <c r="E58">
        <v>3</v>
      </c>
      <c r="F58">
        <v>3</v>
      </c>
      <c r="G58">
        <v>0.5</v>
      </c>
      <c r="H58">
        <v>0</v>
      </c>
      <c r="I58">
        <v>0</v>
      </c>
      <c r="J58" s="1">
        <v>1</v>
      </c>
      <c r="L58">
        <f t="shared" si="0"/>
        <v>0</v>
      </c>
    </row>
    <row r="59" spans="1:12" x14ac:dyDescent="0.3">
      <c r="A59">
        <v>40</v>
      </c>
      <c r="B59">
        <v>3</v>
      </c>
      <c r="C59" s="1">
        <v>70</v>
      </c>
      <c r="D59">
        <v>1.1499999999999999</v>
      </c>
      <c r="E59">
        <v>3</v>
      </c>
      <c r="F59">
        <v>3</v>
      </c>
      <c r="G59">
        <v>0.60599999999999998</v>
      </c>
      <c r="H59">
        <v>0</v>
      </c>
      <c r="I59">
        <v>0</v>
      </c>
      <c r="J59" s="1">
        <v>1</v>
      </c>
      <c r="L59">
        <f t="shared" si="0"/>
        <v>0</v>
      </c>
    </row>
    <row r="60" spans="1:12" x14ac:dyDescent="0.3">
      <c r="A60">
        <v>40</v>
      </c>
      <c r="B60">
        <v>3</v>
      </c>
      <c r="C60" s="1">
        <v>80</v>
      </c>
      <c r="D60">
        <v>1.1499999999999999</v>
      </c>
      <c r="E60">
        <v>3</v>
      </c>
      <c r="F60">
        <v>3</v>
      </c>
      <c r="G60">
        <v>0.629</v>
      </c>
      <c r="H60">
        <v>0</v>
      </c>
      <c r="I60">
        <v>0</v>
      </c>
      <c r="J60" s="1">
        <v>1</v>
      </c>
      <c r="L60">
        <f t="shared" si="0"/>
        <v>0</v>
      </c>
    </row>
    <row r="61" spans="1:12" x14ac:dyDescent="0.3">
      <c r="A61">
        <v>40</v>
      </c>
      <c r="B61">
        <v>3</v>
      </c>
      <c r="C61" s="1">
        <v>90</v>
      </c>
      <c r="D61">
        <v>1.1499999999999999</v>
      </c>
      <c r="E61">
        <v>3</v>
      </c>
      <c r="F61">
        <v>3</v>
      </c>
      <c r="G61">
        <v>0.47899999999999998</v>
      </c>
      <c r="H61">
        <v>0</v>
      </c>
      <c r="I61">
        <v>0</v>
      </c>
      <c r="J61" s="1">
        <v>1</v>
      </c>
      <c r="L61">
        <f t="shared" si="0"/>
        <v>0</v>
      </c>
    </row>
    <row r="62" spans="1:12" s="2" customFormat="1" x14ac:dyDescent="0.3">
      <c r="A62" s="2">
        <v>40</v>
      </c>
      <c r="B62" s="2">
        <v>3</v>
      </c>
      <c r="C62" s="3">
        <v>100</v>
      </c>
      <c r="D62" s="2">
        <v>1.1499999999999999</v>
      </c>
      <c r="E62" s="2">
        <v>3</v>
      </c>
      <c r="F62" s="2">
        <v>3</v>
      </c>
      <c r="G62" s="2">
        <v>0.51200000000000001</v>
      </c>
      <c r="H62" s="2">
        <v>0</v>
      </c>
      <c r="I62" s="2">
        <v>0</v>
      </c>
      <c r="J62" s="3">
        <v>1</v>
      </c>
      <c r="K62" s="5">
        <f>AVERAGE(G53:G62)</f>
        <v>0.52469999999999994</v>
      </c>
      <c r="L62" s="2">
        <f t="shared" si="0"/>
        <v>0</v>
      </c>
    </row>
    <row r="63" spans="1:12" x14ac:dyDescent="0.3">
      <c r="A63">
        <v>40</v>
      </c>
      <c r="B63">
        <v>4</v>
      </c>
      <c r="C63" s="1">
        <v>10</v>
      </c>
      <c r="D63">
        <v>1.1499999999999999</v>
      </c>
      <c r="E63">
        <v>2</v>
      </c>
      <c r="F63">
        <v>2</v>
      </c>
      <c r="G63">
        <v>0.48499999999999999</v>
      </c>
      <c r="H63">
        <v>0</v>
      </c>
      <c r="I63">
        <v>0</v>
      </c>
      <c r="J63" s="1">
        <v>1</v>
      </c>
      <c r="L63">
        <f t="shared" si="0"/>
        <v>0</v>
      </c>
    </row>
    <row r="64" spans="1:12" x14ac:dyDescent="0.3">
      <c r="A64">
        <v>40</v>
      </c>
      <c r="B64">
        <v>4</v>
      </c>
      <c r="C64" s="1">
        <v>20</v>
      </c>
      <c r="D64">
        <v>1.1499999999999999</v>
      </c>
      <c r="E64">
        <v>2</v>
      </c>
      <c r="F64">
        <v>2</v>
      </c>
      <c r="G64">
        <v>0.40699999999999997</v>
      </c>
      <c r="H64">
        <v>0</v>
      </c>
      <c r="I64">
        <v>0</v>
      </c>
      <c r="J64" s="1">
        <v>1</v>
      </c>
      <c r="L64">
        <f t="shared" si="0"/>
        <v>0</v>
      </c>
    </row>
    <row r="65" spans="1:12" x14ac:dyDescent="0.3">
      <c r="A65">
        <v>40</v>
      </c>
      <c r="B65">
        <v>4</v>
      </c>
      <c r="C65" s="1">
        <v>30</v>
      </c>
      <c r="D65">
        <v>1.1499999999999999</v>
      </c>
      <c r="E65">
        <v>2</v>
      </c>
      <c r="F65">
        <v>2</v>
      </c>
      <c r="G65">
        <v>0.47899999999999998</v>
      </c>
      <c r="H65">
        <v>0</v>
      </c>
      <c r="I65">
        <v>0</v>
      </c>
      <c r="J65" s="1">
        <v>1</v>
      </c>
      <c r="L65">
        <f t="shared" si="0"/>
        <v>0</v>
      </c>
    </row>
    <row r="66" spans="1:12" x14ac:dyDescent="0.3">
      <c r="A66">
        <v>40</v>
      </c>
      <c r="B66">
        <v>4</v>
      </c>
      <c r="C66" s="1">
        <v>40</v>
      </c>
      <c r="D66">
        <v>1.1499999999999999</v>
      </c>
      <c r="E66">
        <v>2</v>
      </c>
      <c r="F66">
        <v>2</v>
      </c>
      <c r="G66">
        <v>0.48499999999999999</v>
      </c>
      <c r="H66">
        <v>0</v>
      </c>
      <c r="I66">
        <v>0</v>
      </c>
      <c r="J66" s="1">
        <v>1</v>
      </c>
      <c r="L66">
        <f t="shared" si="0"/>
        <v>0</v>
      </c>
    </row>
    <row r="67" spans="1:12" x14ac:dyDescent="0.3">
      <c r="A67">
        <v>40</v>
      </c>
      <c r="B67">
        <v>4</v>
      </c>
      <c r="C67" s="1">
        <v>50</v>
      </c>
      <c r="D67">
        <v>1.1499999999999999</v>
      </c>
      <c r="E67">
        <v>2</v>
      </c>
      <c r="F67">
        <v>2</v>
      </c>
      <c r="G67">
        <v>0.46800000000000003</v>
      </c>
      <c r="H67">
        <v>0</v>
      </c>
      <c r="I67">
        <v>0</v>
      </c>
      <c r="J67" s="1">
        <v>1</v>
      </c>
      <c r="L67">
        <f t="shared" ref="L67:L130" si="1">IF(ISBLANK(E67),IF(ISBLANK(F67),"",100), IF(E67+F67=0, 0, IF(G67=3600, IF(E67=F67,1,(E67-F67)/E67*100), 0)))</f>
        <v>0</v>
      </c>
    </row>
    <row r="68" spans="1:12" x14ac:dyDescent="0.3">
      <c r="A68">
        <v>40</v>
      </c>
      <c r="B68">
        <v>4</v>
      </c>
      <c r="C68" s="1">
        <v>60</v>
      </c>
      <c r="D68">
        <v>1.1499999999999999</v>
      </c>
      <c r="E68">
        <v>2</v>
      </c>
      <c r="F68">
        <v>2</v>
      </c>
      <c r="G68">
        <v>0.45500000000000002</v>
      </c>
      <c r="H68">
        <v>0</v>
      </c>
      <c r="I68">
        <v>0</v>
      </c>
      <c r="J68" s="1">
        <v>1</v>
      </c>
      <c r="L68">
        <f t="shared" si="1"/>
        <v>0</v>
      </c>
    </row>
    <row r="69" spans="1:12" x14ac:dyDescent="0.3">
      <c r="A69">
        <v>40</v>
      </c>
      <c r="B69">
        <v>4</v>
      </c>
      <c r="C69" s="1">
        <v>70</v>
      </c>
      <c r="D69">
        <v>1.1499999999999999</v>
      </c>
      <c r="E69">
        <v>2</v>
      </c>
      <c r="F69">
        <v>2</v>
      </c>
      <c r="G69">
        <v>0.46500000000000002</v>
      </c>
      <c r="H69">
        <v>0</v>
      </c>
      <c r="I69">
        <v>0</v>
      </c>
      <c r="J69" s="1">
        <v>1</v>
      </c>
      <c r="L69">
        <f t="shared" si="1"/>
        <v>0</v>
      </c>
    </row>
    <row r="70" spans="1:12" x14ac:dyDescent="0.3">
      <c r="A70">
        <v>40</v>
      </c>
      <c r="B70">
        <v>4</v>
      </c>
      <c r="C70" s="1">
        <v>80</v>
      </c>
      <c r="D70">
        <v>1.1499999999999999</v>
      </c>
      <c r="E70">
        <v>2</v>
      </c>
      <c r="F70">
        <v>2</v>
      </c>
      <c r="G70">
        <v>0.48499999999999999</v>
      </c>
      <c r="H70">
        <v>0</v>
      </c>
      <c r="I70">
        <v>0</v>
      </c>
      <c r="J70" s="1">
        <v>1</v>
      </c>
      <c r="L70">
        <f t="shared" si="1"/>
        <v>0</v>
      </c>
    </row>
    <row r="71" spans="1:12" x14ac:dyDescent="0.3">
      <c r="A71">
        <v>40</v>
      </c>
      <c r="B71">
        <v>4</v>
      </c>
      <c r="C71" s="1">
        <v>90</v>
      </c>
      <c r="D71">
        <v>1.1499999999999999</v>
      </c>
      <c r="E71">
        <v>2</v>
      </c>
      <c r="F71">
        <v>2</v>
      </c>
      <c r="G71">
        <v>0.48499999999999999</v>
      </c>
      <c r="H71">
        <v>0</v>
      </c>
      <c r="I71">
        <v>0</v>
      </c>
      <c r="J71" s="1">
        <v>1</v>
      </c>
      <c r="L71">
        <f t="shared" si="1"/>
        <v>0</v>
      </c>
    </row>
    <row r="72" spans="1:12" s="2" customFormat="1" x14ac:dyDescent="0.3">
      <c r="A72" s="2">
        <v>40</v>
      </c>
      <c r="B72" s="2">
        <v>4</v>
      </c>
      <c r="C72" s="3">
        <v>100</v>
      </c>
      <c r="D72" s="2">
        <v>1.1499999999999999</v>
      </c>
      <c r="E72" s="2">
        <v>2</v>
      </c>
      <c r="F72" s="2">
        <v>2</v>
      </c>
      <c r="G72" s="2">
        <v>0.42399999999999999</v>
      </c>
      <c r="H72" s="2">
        <v>0</v>
      </c>
      <c r="I72" s="2">
        <v>0</v>
      </c>
      <c r="J72" s="3">
        <v>1</v>
      </c>
      <c r="K72" s="5">
        <f>AVERAGE(G63:G72)</f>
        <v>0.46379999999999999</v>
      </c>
      <c r="L72" s="2">
        <f t="shared" si="1"/>
        <v>0</v>
      </c>
    </row>
    <row r="73" spans="1:12" x14ac:dyDescent="0.3">
      <c r="A73">
        <v>40</v>
      </c>
      <c r="B73">
        <v>5</v>
      </c>
      <c r="C73" s="1">
        <v>10</v>
      </c>
      <c r="D73">
        <v>1.1499999999999999</v>
      </c>
      <c r="E73">
        <v>1</v>
      </c>
      <c r="F73">
        <v>1</v>
      </c>
      <c r="G73">
        <v>0.34399999999999997</v>
      </c>
      <c r="H73">
        <v>0</v>
      </c>
      <c r="I73">
        <v>0</v>
      </c>
      <c r="J73" s="1">
        <v>1</v>
      </c>
      <c r="L73">
        <f t="shared" si="1"/>
        <v>0</v>
      </c>
    </row>
    <row r="74" spans="1:12" x14ac:dyDescent="0.3">
      <c r="A74">
        <v>40</v>
      </c>
      <c r="B74">
        <v>5</v>
      </c>
      <c r="C74" s="1">
        <v>20</v>
      </c>
      <c r="D74">
        <v>1.1499999999999999</v>
      </c>
      <c r="E74">
        <v>1</v>
      </c>
      <c r="F74">
        <v>1</v>
      </c>
      <c r="G74">
        <v>0.33900000000000002</v>
      </c>
      <c r="H74">
        <v>0</v>
      </c>
      <c r="I74">
        <v>0</v>
      </c>
      <c r="J74" s="1">
        <v>1</v>
      </c>
      <c r="L74">
        <f t="shared" si="1"/>
        <v>0</v>
      </c>
    </row>
    <row r="75" spans="1:12" x14ac:dyDescent="0.3">
      <c r="A75">
        <v>40</v>
      </c>
      <c r="B75">
        <v>5</v>
      </c>
      <c r="C75" s="1">
        <v>30</v>
      </c>
      <c r="D75">
        <v>1.1499999999999999</v>
      </c>
      <c r="E75">
        <v>1</v>
      </c>
      <c r="F75">
        <v>1</v>
      </c>
      <c r="G75">
        <v>0.38800000000000001</v>
      </c>
      <c r="H75">
        <v>0</v>
      </c>
      <c r="I75">
        <v>0</v>
      </c>
      <c r="J75" s="1">
        <v>1</v>
      </c>
      <c r="L75">
        <f t="shared" si="1"/>
        <v>0</v>
      </c>
    </row>
    <row r="76" spans="1:12" x14ac:dyDescent="0.3">
      <c r="A76">
        <v>40</v>
      </c>
      <c r="B76">
        <v>5</v>
      </c>
      <c r="C76" s="1">
        <v>40</v>
      </c>
      <c r="D76">
        <v>1.1499999999999999</v>
      </c>
      <c r="E76">
        <v>1</v>
      </c>
      <c r="F76">
        <v>1</v>
      </c>
      <c r="G76">
        <v>0.3</v>
      </c>
      <c r="H76">
        <v>0</v>
      </c>
      <c r="I76">
        <v>0</v>
      </c>
      <c r="J76" s="1">
        <v>1</v>
      </c>
      <c r="L76">
        <f t="shared" si="1"/>
        <v>0</v>
      </c>
    </row>
    <row r="77" spans="1:12" x14ac:dyDescent="0.3">
      <c r="A77">
        <v>40</v>
      </c>
      <c r="B77">
        <v>5</v>
      </c>
      <c r="C77" s="1">
        <v>50</v>
      </c>
      <c r="D77">
        <v>1.1499999999999999</v>
      </c>
      <c r="E77">
        <v>1</v>
      </c>
      <c r="F77">
        <v>1</v>
      </c>
      <c r="G77">
        <v>0.23300000000000001</v>
      </c>
      <c r="H77">
        <v>0</v>
      </c>
      <c r="I77">
        <v>0</v>
      </c>
      <c r="J77" s="1">
        <v>1</v>
      </c>
      <c r="L77">
        <f t="shared" si="1"/>
        <v>0</v>
      </c>
    </row>
    <row r="78" spans="1:12" x14ac:dyDescent="0.3">
      <c r="A78">
        <v>40</v>
      </c>
      <c r="B78">
        <v>5</v>
      </c>
      <c r="C78" s="1">
        <v>60</v>
      </c>
      <c r="D78">
        <v>1.1499999999999999</v>
      </c>
      <c r="E78">
        <v>1</v>
      </c>
      <c r="F78">
        <v>1</v>
      </c>
      <c r="G78">
        <v>0.35699999999999998</v>
      </c>
      <c r="H78">
        <v>0</v>
      </c>
      <c r="I78">
        <v>0</v>
      </c>
      <c r="J78" s="1">
        <v>1</v>
      </c>
      <c r="L78">
        <f t="shared" si="1"/>
        <v>0</v>
      </c>
    </row>
    <row r="79" spans="1:12" x14ac:dyDescent="0.3">
      <c r="A79">
        <v>40</v>
      </c>
      <c r="B79">
        <v>5</v>
      </c>
      <c r="C79" s="1">
        <v>70</v>
      </c>
      <c r="D79">
        <v>1.1499999999999999</v>
      </c>
      <c r="E79">
        <v>1</v>
      </c>
      <c r="F79">
        <v>1</v>
      </c>
      <c r="G79">
        <v>0.41399999999999998</v>
      </c>
      <c r="H79">
        <v>0</v>
      </c>
      <c r="I79">
        <v>0</v>
      </c>
      <c r="J79" s="1">
        <v>1</v>
      </c>
      <c r="L79">
        <f t="shared" si="1"/>
        <v>0</v>
      </c>
    </row>
    <row r="80" spans="1:12" x14ac:dyDescent="0.3">
      <c r="A80">
        <v>40</v>
      </c>
      <c r="B80">
        <v>5</v>
      </c>
      <c r="C80" s="1">
        <v>80</v>
      </c>
      <c r="D80">
        <v>1.1499999999999999</v>
      </c>
      <c r="E80">
        <v>1</v>
      </c>
      <c r="F80">
        <v>1</v>
      </c>
      <c r="G80">
        <v>0.40600000000000003</v>
      </c>
      <c r="H80">
        <v>0</v>
      </c>
      <c r="I80">
        <v>0</v>
      </c>
      <c r="J80" s="1">
        <v>1</v>
      </c>
      <c r="L80">
        <f t="shared" si="1"/>
        <v>0</v>
      </c>
    </row>
    <row r="81" spans="1:12" x14ac:dyDescent="0.3">
      <c r="A81">
        <v>40</v>
      </c>
      <c r="B81">
        <v>5</v>
      </c>
      <c r="C81" s="1">
        <v>90</v>
      </c>
      <c r="D81">
        <v>1.1499999999999999</v>
      </c>
      <c r="E81">
        <v>1</v>
      </c>
      <c r="F81">
        <v>1</v>
      </c>
      <c r="G81">
        <v>0.3</v>
      </c>
      <c r="H81">
        <v>0</v>
      </c>
      <c r="I81">
        <v>0</v>
      </c>
      <c r="J81" s="1">
        <v>1</v>
      </c>
      <c r="L81">
        <f t="shared" si="1"/>
        <v>0</v>
      </c>
    </row>
    <row r="82" spans="1:12" s="2" customFormat="1" x14ac:dyDescent="0.3">
      <c r="A82" s="2">
        <v>40</v>
      </c>
      <c r="B82" s="2">
        <v>5</v>
      </c>
      <c r="C82" s="3">
        <v>100</v>
      </c>
      <c r="D82" s="2">
        <v>1.1499999999999999</v>
      </c>
      <c r="E82" s="2">
        <v>1</v>
      </c>
      <c r="F82" s="2">
        <v>1</v>
      </c>
      <c r="G82" s="2">
        <v>0.32800000000000001</v>
      </c>
      <c r="H82" s="2">
        <v>0</v>
      </c>
      <c r="I82" s="2">
        <v>0</v>
      </c>
      <c r="J82" s="3">
        <v>1</v>
      </c>
      <c r="K82" s="5">
        <f>AVERAGE(G73:G82)</f>
        <v>0.34090000000000004</v>
      </c>
      <c r="L82" s="2">
        <f t="shared" si="1"/>
        <v>0</v>
      </c>
    </row>
    <row r="83" spans="1:12" x14ac:dyDescent="0.3">
      <c r="A83">
        <v>50</v>
      </c>
      <c r="B83">
        <v>2</v>
      </c>
      <c r="C83" s="1">
        <v>10</v>
      </c>
      <c r="D83">
        <v>1.1499999999999999</v>
      </c>
      <c r="E83">
        <v>5</v>
      </c>
      <c r="F83">
        <v>5</v>
      </c>
      <c r="G83">
        <v>1.478</v>
      </c>
      <c r="H83">
        <v>0</v>
      </c>
      <c r="I83">
        <v>0</v>
      </c>
      <c r="J83" s="1">
        <v>1</v>
      </c>
      <c r="L83">
        <f t="shared" si="1"/>
        <v>0</v>
      </c>
    </row>
    <row r="84" spans="1:12" x14ac:dyDescent="0.3">
      <c r="A84">
        <v>50</v>
      </c>
      <c r="B84">
        <v>2</v>
      </c>
      <c r="C84" s="1">
        <v>20</v>
      </c>
      <c r="D84">
        <v>1.1499999999999999</v>
      </c>
      <c r="E84">
        <v>5</v>
      </c>
      <c r="F84">
        <v>5</v>
      </c>
      <c r="G84">
        <v>1.444</v>
      </c>
      <c r="H84">
        <v>0</v>
      </c>
      <c r="I84">
        <v>0</v>
      </c>
      <c r="J84" s="1">
        <v>1</v>
      </c>
      <c r="L84">
        <f t="shared" si="1"/>
        <v>0</v>
      </c>
    </row>
    <row r="85" spans="1:12" x14ac:dyDescent="0.3">
      <c r="A85">
        <v>50</v>
      </c>
      <c r="B85">
        <v>2</v>
      </c>
      <c r="C85" s="1">
        <v>30</v>
      </c>
      <c r="D85">
        <v>1.1499999999999999</v>
      </c>
      <c r="E85">
        <v>5</v>
      </c>
      <c r="F85">
        <v>5</v>
      </c>
      <c r="G85">
        <v>1.6919999999999999</v>
      </c>
      <c r="H85">
        <v>0</v>
      </c>
      <c r="I85">
        <v>0</v>
      </c>
      <c r="J85" s="1">
        <v>1</v>
      </c>
      <c r="L85">
        <f t="shared" si="1"/>
        <v>0</v>
      </c>
    </row>
    <row r="86" spans="1:12" x14ac:dyDescent="0.3">
      <c r="A86">
        <v>50</v>
      </c>
      <c r="B86">
        <v>2</v>
      </c>
      <c r="C86" s="1">
        <v>40</v>
      </c>
      <c r="D86">
        <v>1.1499999999999999</v>
      </c>
      <c r="E86">
        <v>5</v>
      </c>
      <c r="F86">
        <v>5</v>
      </c>
      <c r="G86">
        <v>1.4930000000000001</v>
      </c>
      <c r="H86">
        <v>0</v>
      </c>
      <c r="I86">
        <v>0</v>
      </c>
      <c r="J86" s="1">
        <v>1</v>
      </c>
      <c r="L86">
        <f t="shared" si="1"/>
        <v>0</v>
      </c>
    </row>
    <row r="87" spans="1:12" x14ac:dyDescent="0.3">
      <c r="A87">
        <v>50</v>
      </c>
      <c r="B87">
        <v>2</v>
      </c>
      <c r="C87" s="1">
        <v>50</v>
      </c>
      <c r="D87">
        <v>1.1499999999999999</v>
      </c>
      <c r="E87">
        <v>5</v>
      </c>
      <c r="F87">
        <v>5</v>
      </c>
      <c r="G87">
        <v>1.542</v>
      </c>
      <c r="H87">
        <v>0</v>
      </c>
      <c r="I87">
        <v>0</v>
      </c>
      <c r="J87" s="1">
        <v>1</v>
      </c>
      <c r="L87">
        <f t="shared" si="1"/>
        <v>0</v>
      </c>
    </row>
    <row r="88" spans="1:12" x14ac:dyDescent="0.3">
      <c r="A88">
        <v>50</v>
      </c>
      <c r="B88">
        <v>2</v>
      </c>
      <c r="C88" s="1">
        <v>60</v>
      </c>
      <c r="D88">
        <v>1.1499999999999999</v>
      </c>
      <c r="E88">
        <v>5</v>
      </c>
      <c r="F88">
        <v>5</v>
      </c>
      <c r="G88">
        <v>1.637</v>
      </c>
      <c r="H88">
        <v>0</v>
      </c>
      <c r="I88">
        <v>0</v>
      </c>
      <c r="J88" s="1">
        <v>1</v>
      </c>
      <c r="L88">
        <f t="shared" si="1"/>
        <v>0</v>
      </c>
    </row>
    <row r="89" spans="1:12" x14ac:dyDescent="0.3">
      <c r="A89">
        <v>50</v>
      </c>
      <c r="B89">
        <v>2</v>
      </c>
      <c r="C89" s="1">
        <v>70</v>
      </c>
      <c r="D89">
        <v>1.1499999999999999</v>
      </c>
      <c r="E89">
        <v>5</v>
      </c>
      <c r="F89">
        <v>5</v>
      </c>
      <c r="G89">
        <v>1.6919999999999999</v>
      </c>
      <c r="H89">
        <v>0</v>
      </c>
      <c r="I89">
        <v>0</v>
      </c>
      <c r="J89" s="1">
        <v>1</v>
      </c>
      <c r="L89">
        <f t="shared" si="1"/>
        <v>0</v>
      </c>
    </row>
    <row r="90" spans="1:12" x14ac:dyDescent="0.3">
      <c r="A90">
        <v>50</v>
      </c>
      <c r="B90">
        <v>2</v>
      </c>
      <c r="C90" s="1">
        <v>80</v>
      </c>
      <c r="D90">
        <v>1.1499999999999999</v>
      </c>
      <c r="E90">
        <v>5</v>
      </c>
      <c r="F90">
        <v>5</v>
      </c>
      <c r="G90">
        <v>1.62</v>
      </c>
      <c r="H90">
        <v>0</v>
      </c>
      <c r="I90">
        <v>0</v>
      </c>
      <c r="J90" s="1">
        <v>1</v>
      </c>
      <c r="L90">
        <f t="shared" si="1"/>
        <v>0</v>
      </c>
    </row>
    <row r="91" spans="1:12" x14ac:dyDescent="0.3">
      <c r="A91">
        <v>50</v>
      </c>
      <c r="B91">
        <v>2</v>
      </c>
      <c r="C91" s="1">
        <v>90</v>
      </c>
      <c r="D91">
        <v>1.1499999999999999</v>
      </c>
      <c r="E91">
        <v>5</v>
      </c>
      <c r="F91">
        <v>5</v>
      </c>
      <c r="G91">
        <v>1.4670000000000001</v>
      </c>
      <c r="H91">
        <v>0</v>
      </c>
      <c r="I91">
        <v>0</v>
      </c>
      <c r="J91" s="1">
        <v>1</v>
      </c>
      <c r="L91">
        <f t="shared" si="1"/>
        <v>0</v>
      </c>
    </row>
    <row r="92" spans="1:12" s="2" customFormat="1" x14ac:dyDescent="0.3">
      <c r="A92" s="2">
        <v>50</v>
      </c>
      <c r="B92" s="2">
        <v>2</v>
      </c>
      <c r="C92" s="3">
        <v>100</v>
      </c>
      <c r="D92" s="2">
        <v>1.1499999999999999</v>
      </c>
      <c r="E92" s="2">
        <v>5</v>
      </c>
      <c r="F92" s="2">
        <v>5</v>
      </c>
      <c r="G92" s="2">
        <v>1.5489999999999999</v>
      </c>
      <c r="H92" s="2">
        <v>0</v>
      </c>
      <c r="I92" s="2">
        <v>0</v>
      </c>
      <c r="J92" s="3">
        <v>1</v>
      </c>
      <c r="K92" s="5">
        <f>AVERAGE(G83:G92)</f>
        <v>1.5613999999999999</v>
      </c>
      <c r="L92" s="2">
        <f t="shared" si="1"/>
        <v>0</v>
      </c>
    </row>
    <row r="93" spans="1:12" x14ac:dyDescent="0.3">
      <c r="A93">
        <v>50</v>
      </c>
      <c r="B93">
        <v>3</v>
      </c>
      <c r="C93" s="1">
        <v>10</v>
      </c>
      <c r="D93">
        <v>1.1499999999999999</v>
      </c>
      <c r="E93">
        <v>4</v>
      </c>
      <c r="F93">
        <v>4</v>
      </c>
      <c r="G93">
        <v>1.3859999999999999</v>
      </c>
      <c r="H93">
        <v>0</v>
      </c>
      <c r="I93">
        <v>0</v>
      </c>
      <c r="J93" s="1">
        <v>1</v>
      </c>
      <c r="L93">
        <f t="shared" si="1"/>
        <v>0</v>
      </c>
    </row>
    <row r="94" spans="1:12" x14ac:dyDescent="0.3">
      <c r="A94">
        <v>50</v>
      </c>
      <c r="B94">
        <v>3</v>
      </c>
      <c r="C94" s="1">
        <v>20</v>
      </c>
      <c r="D94">
        <v>1.1499999999999999</v>
      </c>
      <c r="E94">
        <v>4</v>
      </c>
      <c r="F94">
        <v>4</v>
      </c>
      <c r="G94">
        <v>1.3540000000000001</v>
      </c>
      <c r="H94">
        <v>0</v>
      </c>
      <c r="I94">
        <v>0</v>
      </c>
      <c r="J94" s="1">
        <v>1</v>
      </c>
      <c r="L94">
        <f t="shared" si="1"/>
        <v>0</v>
      </c>
    </row>
    <row r="95" spans="1:12" x14ac:dyDescent="0.3">
      <c r="A95">
        <v>50</v>
      </c>
      <c r="B95">
        <v>3</v>
      </c>
      <c r="C95" s="1">
        <v>30</v>
      </c>
      <c r="D95">
        <v>1.1499999999999999</v>
      </c>
      <c r="E95">
        <v>4</v>
      </c>
      <c r="F95">
        <v>4</v>
      </c>
      <c r="G95">
        <v>1.4850000000000001</v>
      </c>
      <c r="H95">
        <v>0</v>
      </c>
      <c r="I95">
        <v>0</v>
      </c>
      <c r="J95" s="1">
        <v>1</v>
      </c>
      <c r="L95">
        <f t="shared" si="1"/>
        <v>0</v>
      </c>
    </row>
    <row r="96" spans="1:12" x14ac:dyDescent="0.3">
      <c r="A96">
        <v>50</v>
      </c>
      <c r="B96">
        <v>3</v>
      </c>
      <c r="C96" s="1">
        <v>40</v>
      </c>
      <c r="D96">
        <v>1.1499999999999999</v>
      </c>
      <c r="E96">
        <v>4</v>
      </c>
      <c r="F96">
        <v>4</v>
      </c>
      <c r="G96">
        <v>1.411</v>
      </c>
      <c r="H96">
        <v>0</v>
      </c>
      <c r="I96">
        <v>0</v>
      </c>
      <c r="J96" s="1">
        <v>1</v>
      </c>
      <c r="L96">
        <f t="shared" si="1"/>
        <v>0</v>
      </c>
    </row>
    <row r="97" spans="1:12" x14ac:dyDescent="0.3">
      <c r="A97">
        <v>50</v>
      </c>
      <c r="B97">
        <v>3</v>
      </c>
      <c r="C97" s="1">
        <v>50</v>
      </c>
      <c r="D97">
        <v>1.1499999999999999</v>
      </c>
      <c r="E97">
        <v>4</v>
      </c>
      <c r="F97">
        <v>4</v>
      </c>
      <c r="G97">
        <v>1.4179999999999999</v>
      </c>
      <c r="H97">
        <v>0</v>
      </c>
      <c r="I97">
        <v>0</v>
      </c>
      <c r="J97" s="1">
        <v>1</v>
      </c>
      <c r="L97">
        <f t="shared" si="1"/>
        <v>0</v>
      </c>
    </row>
    <row r="98" spans="1:12" x14ac:dyDescent="0.3">
      <c r="A98">
        <v>50</v>
      </c>
      <c r="B98">
        <v>3</v>
      </c>
      <c r="C98" s="1">
        <v>60</v>
      </c>
      <c r="D98">
        <v>1.1499999999999999</v>
      </c>
      <c r="E98">
        <v>4</v>
      </c>
      <c r="F98">
        <v>4</v>
      </c>
      <c r="G98">
        <v>1.4890000000000001</v>
      </c>
      <c r="H98">
        <v>0</v>
      </c>
      <c r="I98">
        <v>0</v>
      </c>
      <c r="J98" s="1">
        <v>1</v>
      </c>
      <c r="L98">
        <f t="shared" si="1"/>
        <v>0</v>
      </c>
    </row>
    <row r="99" spans="1:12" x14ac:dyDescent="0.3">
      <c r="A99">
        <v>50</v>
      </c>
      <c r="B99">
        <v>3</v>
      </c>
      <c r="C99" s="1">
        <v>70</v>
      </c>
      <c r="D99">
        <v>1.1499999999999999</v>
      </c>
      <c r="E99">
        <v>4</v>
      </c>
      <c r="F99">
        <v>4</v>
      </c>
      <c r="G99">
        <v>1.59</v>
      </c>
      <c r="H99">
        <v>0</v>
      </c>
      <c r="I99">
        <v>0</v>
      </c>
      <c r="J99" s="1">
        <v>1</v>
      </c>
      <c r="L99">
        <f t="shared" si="1"/>
        <v>0</v>
      </c>
    </row>
    <row r="100" spans="1:12" x14ac:dyDescent="0.3">
      <c r="A100">
        <v>50</v>
      </c>
      <c r="B100">
        <v>3</v>
      </c>
      <c r="C100" s="1">
        <v>80</v>
      </c>
      <c r="D100">
        <v>1.1499999999999999</v>
      </c>
      <c r="E100">
        <v>4</v>
      </c>
      <c r="F100">
        <v>4</v>
      </c>
      <c r="G100">
        <v>1.462</v>
      </c>
      <c r="H100">
        <v>0</v>
      </c>
      <c r="I100">
        <v>0</v>
      </c>
      <c r="J100" s="1">
        <v>1</v>
      </c>
      <c r="L100">
        <f t="shared" si="1"/>
        <v>0</v>
      </c>
    </row>
    <row r="101" spans="1:12" x14ac:dyDescent="0.3">
      <c r="A101">
        <v>50</v>
      </c>
      <c r="B101">
        <v>3</v>
      </c>
      <c r="C101" s="1">
        <v>90</v>
      </c>
      <c r="D101">
        <v>1.1499999999999999</v>
      </c>
      <c r="E101">
        <v>4</v>
      </c>
      <c r="F101">
        <v>4</v>
      </c>
      <c r="G101">
        <v>1.4079999999999999</v>
      </c>
      <c r="H101">
        <v>0</v>
      </c>
      <c r="I101">
        <v>0</v>
      </c>
      <c r="J101" s="1">
        <v>1</v>
      </c>
      <c r="L101">
        <f t="shared" si="1"/>
        <v>0</v>
      </c>
    </row>
    <row r="102" spans="1:12" s="2" customFormat="1" x14ac:dyDescent="0.3">
      <c r="A102" s="2">
        <v>50</v>
      </c>
      <c r="B102" s="2">
        <v>3</v>
      </c>
      <c r="C102" s="3">
        <v>100</v>
      </c>
      <c r="D102" s="2">
        <v>1.1499999999999999</v>
      </c>
      <c r="E102" s="2">
        <v>4</v>
      </c>
      <c r="F102" s="2">
        <v>4</v>
      </c>
      <c r="G102" s="2">
        <v>1.2490000000000001</v>
      </c>
      <c r="H102" s="2">
        <v>0</v>
      </c>
      <c r="I102" s="2">
        <v>0</v>
      </c>
      <c r="J102" s="3">
        <v>1</v>
      </c>
      <c r="K102" s="5">
        <f>AVERAGE(G93:G102)</f>
        <v>1.4252</v>
      </c>
      <c r="L102" s="2">
        <f t="shared" si="1"/>
        <v>0</v>
      </c>
    </row>
    <row r="103" spans="1:12" x14ac:dyDescent="0.3">
      <c r="A103">
        <v>50</v>
      </c>
      <c r="B103">
        <v>4</v>
      </c>
      <c r="C103" s="1">
        <v>10</v>
      </c>
      <c r="D103">
        <v>1.1499999999999999</v>
      </c>
      <c r="E103">
        <v>3</v>
      </c>
      <c r="F103">
        <v>3</v>
      </c>
      <c r="G103">
        <v>0.872</v>
      </c>
      <c r="H103">
        <v>0</v>
      </c>
      <c r="I103">
        <v>0</v>
      </c>
      <c r="J103" s="1">
        <v>1</v>
      </c>
      <c r="L103">
        <f t="shared" si="1"/>
        <v>0</v>
      </c>
    </row>
    <row r="104" spans="1:12" x14ac:dyDescent="0.3">
      <c r="A104">
        <v>50</v>
      </c>
      <c r="B104">
        <v>4</v>
      </c>
      <c r="C104" s="1">
        <v>20</v>
      </c>
      <c r="D104">
        <v>1.1499999999999999</v>
      </c>
      <c r="E104">
        <v>3</v>
      </c>
      <c r="F104">
        <v>3</v>
      </c>
      <c r="G104">
        <v>1.034</v>
      </c>
      <c r="H104">
        <v>0</v>
      </c>
      <c r="I104">
        <v>0</v>
      </c>
      <c r="J104" s="1">
        <v>1</v>
      </c>
      <c r="L104">
        <f t="shared" si="1"/>
        <v>0</v>
      </c>
    </row>
    <row r="105" spans="1:12" x14ac:dyDescent="0.3">
      <c r="A105">
        <v>50</v>
      </c>
      <c r="B105">
        <v>4</v>
      </c>
      <c r="C105" s="1">
        <v>30</v>
      </c>
      <c r="D105">
        <v>1.1499999999999999</v>
      </c>
      <c r="E105">
        <v>3</v>
      </c>
      <c r="F105">
        <v>3</v>
      </c>
      <c r="G105">
        <v>1.1890000000000001</v>
      </c>
      <c r="H105">
        <v>0</v>
      </c>
      <c r="I105">
        <v>0</v>
      </c>
      <c r="J105" s="1">
        <v>1</v>
      </c>
      <c r="L105">
        <f t="shared" si="1"/>
        <v>0</v>
      </c>
    </row>
    <row r="106" spans="1:12" x14ac:dyDescent="0.3">
      <c r="A106">
        <v>50</v>
      </c>
      <c r="B106">
        <v>4</v>
      </c>
      <c r="C106" s="1">
        <v>40</v>
      </c>
      <c r="D106">
        <v>1.1499999999999999</v>
      </c>
      <c r="E106">
        <v>3</v>
      </c>
      <c r="F106">
        <v>3</v>
      </c>
      <c r="G106">
        <v>0.90100000000000002</v>
      </c>
      <c r="H106">
        <v>0</v>
      </c>
      <c r="I106">
        <v>0</v>
      </c>
      <c r="J106" s="1">
        <v>1</v>
      </c>
      <c r="L106">
        <f t="shared" si="1"/>
        <v>0</v>
      </c>
    </row>
    <row r="107" spans="1:12" x14ac:dyDescent="0.3">
      <c r="A107">
        <v>50</v>
      </c>
      <c r="B107">
        <v>4</v>
      </c>
      <c r="C107" s="1">
        <v>50</v>
      </c>
      <c r="D107">
        <v>1.1499999999999999</v>
      </c>
      <c r="E107">
        <v>3</v>
      </c>
      <c r="F107">
        <v>3</v>
      </c>
      <c r="G107">
        <v>0.89100000000000001</v>
      </c>
      <c r="H107">
        <v>0</v>
      </c>
      <c r="I107">
        <v>0</v>
      </c>
      <c r="J107" s="1">
        <v>1</v>
      </c>
      <c r="L107">
        <f t="shared" si="1"/>
        <v>0</v>
      </c>
    </row>
    <row r="108" spans="1:12" x14ac:dyDescent="0.3">
      <c r="A108">
        <v>50</v>
      </c>
      <c r="B108">
        <v>4</v>
      </c>
      <c r="C108" s="1">
        <v>60</v>
      </c>
      <c r="D108">
        <v>1.1499999999999999</v>
      </c>
      <c r="E108">
        <v>3</v>
      </c>
      <c r="F108">
        <v>3</v>
      </c>
      <c r="G108">
        <v>1.0620000000000001</v>
      </c>
      <c r="H108">
        <v>0</v>
      </c>
      <c r="I108">
        <v>0</v>
      </c>
      <c r="J108" s="1">
        <v>1</v>
      </c>
      <c r="L108">
        <f t="shared" si="1"/>
        <v>0</v>
      </c>
    </row>
    <row r="109" spans="1:12" x14ac:dyDescent="0.3">
      <c r="A109">
        <v>50</v>
      </c>
      <c r="B109">
        <v>4</v>
      </c>
      <c r="C109" s="1">
        <v>70</v>
      </c>
      <c r="D109">
        <v>1.1499999999999999</v>
      </c>
      <c r="E109">
        <v>3</v>
      </c>
      <c r="F109">
        <v>3</v>
      </c>
      <c r="G109">
        <v>1.3440000000000001</v>
      </c>
      <c r="H109">
        <v>0</v>
      </c>
      <c r="I109">
        <v>0</v>
      </c>
      <c r="J109" s="1">
        <v>1</v>
      </c>
      <c r="L109">
        <f t="shared" si="1"/>
        <v>0</v>
      </c>
    </row>
    <row r="110" spans="1:12" x14ac:dyDescent="0.3">
      <c r="A110">
        <v>50</v>
      </c>
      <c r="B110">
        <v>4</v>
      </c>
      <c r="C110" s="1">
        <v>80</v>
      </c>
      <c r="D110">
        <v>1.1499999999999999</v>
      </c>
      <c r="E110">
        <v>3</v>
      </c>
      <c r="F110">
        <v>3</v>
      </c>
      <c r="G110">
        <v>1.107</v>
      </c>
      <c r="H110">
        <v>0</v>
      </c>
      <c r="I110">
        <v>0</v>
      </c>
      <c r="J110" s="1">
        <v>1</v>
      </c>
      <c r="L110">
        <f t="shared" si="1"/>
        <v>0</v>
      </c>
    </row>
    <row r="111" spans="1:12" x14ac:dyDescent="0.3">
      <c r="A111">
        <v>50</v>
      </c>
      <c r="B111">
        <v>4</v>
      </c>
      <c r="C111" s="1">
        <v>90</v>
      </c>
      <c r="D111">
        <v>1.1499999999999999</v>
      </c>
      <c r="E111">
        <v>3</v>
      </c>
      <c r="F111">
        <v>3</v>
      </c>
      <c r="G111">
        <v>0.84</v>
      </c>
      <c r="H111">
        <v>0</v>
      </c>
      <c r="I111">
        <v>0</v>
      </c>
      <c r="J111" s="1">
        <v>1</v>
      </c>
      <c r="L111">
        <f t="shared" si="1"/>
        <v>0</v>
      </c>
    </row>
    <row r="112" spans="1:12" s="2" customFormat="1" x14ac:dyDescent="0.3">
      <c r="A112" s="2">
        <v>50</v>
      </c>
      <c r="B112" s="2">
        <v>4</v>
      </c>
      <c r="C112" s="3">
        <v>100</v>
      </c>
      <c r="D112" s="2">
        <v>1.1499999999999999</v>
      </c>
      <c r="E112" s="2">
        <v>3</v>
      </c>
      <c r="F112" s="2">
        <v>3</v>
      </c>
      <c r="G112" s="2">
        <v>0.98199999999999998</v>
      </c>
      <c r="H112" s="2">
        <v>0</v>
      </c>
      <c r="I112" s="2">
        <v>0</v>
      </c>
      <c r="J112" s="3">
        <v>1</v>
      </c>
      <c r="K112" s="5">
        <f>AVERAGE(G103:G112)</f>
        <v>1.0222</v>
      </c>
      <c r="L112" s="2">
        <f t="shared" si="1"/>
        <v>0</v>
      </c>
    </row>
    <row r="113" spans="1:12" x14ac:dyDescent="0.3">
      <c r="A113">
        <v>50</v>
      </c>
      <c r="B113">
        <v>5</v>
      </c>
      <c r="C113" s="1">
        <v>10</v>
      </c>
      <c r="D113">
        <v>1.1499999999999999</v>
      </c>
      <c r="E113">
        <v>2</v>
      </c>
      <c r="F113">
        <v>2</v>
      </c>
      <c r="G113">
        <v>0.95699999999999996</v>
      </c>
      <c r="H113">
        <v>0</v>
      </c>
      <c r="I113">
        <v>0</v>
      </c>
      <c r="J113" s="1">
        <v>1</v>
      </c>
      <c r="L113">
        <f t="shared" si="1"/>
        <v>0</v>
      </c>
    </row>
    <row r="114" spans="1:12" x14ac:dyDescent="0.3">
      <c r="A114">
        <v>50</v>
      </c>
      <c r="B114">
        <v>5</v>
      </c>
      <c r="C114" s="1">
        <v>20</v>
      </c>
      <c r="D114">
        <v>1.1499999999999999</v>
      </c>
      <c r="E114">
        <v>2</v>
      </c>
      <c r="F114">
        <v>2</v>
      </c>
      <c r="G114">
        <v>0.88800000000000001</v>
      </c>
      <c r="H114">
        <v>0</v>
      </c>
      <c r="I114">
        <v>0</v>
      </c>
      <c r="J114" s="1">
        <v>1</v>
      </c>
      <c r="L114">
        <f t="shared" si="1"/>
        <v>0</v>
      </c>
    </row>
    <row r="115" spans="1:12" x14ac:dyDescent="0.3">
      <c r="A115">
        <v>50</v>
      </c>
      <c r="B115">
        <v>5</v>
      </c>
      <c r="C115" s="1">
        <v>30</v>
      </c>
      <c r="D115">
        <v>1.1499999999999999</v>
      </c>
      <c r="E115">
        <v>2</v>
      </c>
      <c r="F115">
        <v>2</v>
      </c>
      <c r="G115">
        <v>1.139</v>
      </c>
      <c r="H115">
        <v>0</v>
      </c>
      <c r="I115">
        <v>0</v>
      </c>
      <c r="J115" s="1">
        <v>1</v>
      </c>
      <c r="L115">
        <f t="shared" si="1"/>
        <v>0</v>
      </c>
    </row>
    <row r="116" spans="1:12" x14ac:dyDescent="0.3">
      <c r="A116">
        <v>50</v>
      </c>
      <c r="B116">
        <v>5</v>
      </c>
      <c r="C116" s="1">
        <v>40</v>
      </c>
      <c r="D116">
        <v>1.1499999999999999</v>
      </c>
      <c r="E116">
        <v>2</v>
      </c>
      <c r="F116">
        <v>2</v>
      </c>
      <c r="G116">
        <v>0.97</v>
      </c>
      <c r="H116">
        <v>0</v>
      </c>
      <c r="I116">
        <v>0</v>
      </c>
      <c r="J116" s="1">
        <v>1</v>
      </c>
      <c r="L116">
        <f t="shared" si="1"/>
        <v>0</v>
      </c>
    </row>
    <row r="117" spans="1:12" x14ac:dyDescent="0.3">
      <c r="A117">
        <v>50</v>
      </c>
      <c r="B117">
        <v>5</v>
      </c>
      <c r="C117" s="1">
        <v>50</v>
      </c>
      <c r="D117">
        <v>1.1499999999999999</v>
      </c>
      <c r="E117">
        <v>2</v>
      </c>
      <c r="F117">
        <v>2</v>
      </c>
      <c r="G117">
        <v>0.875</v>
      </c>
      <c r="H117">
        <v>0</v>
      </c>
      <c r="I117">
        <v>0</v>
      </c>
      <c r="J117" s="1">
        <v>1</v>
      </c>
      <c r="L117">
        <f t="shared" si="1"/>
        <v>0</v>
      </c>
    </row>
    <row r="118" spans="1:12" x14ac:dyDescent="0.3">
      <c r="A118">
        <v>50</v>
      </c>
      <c r="B118">
        <v>5</v>
      </c>
      <c r="C118" s="1">
        <v>60</v>
      </c>
      <c r="D118">
        <v>1.1499999999999999</v>
      </c>
      <c r="E118">
        <v>2</v>
      </c>
      <c r="F118">
        <v>2</v>
      </c>
      <c r="G118">
        <v>0.84299999999999997</v>
      </c>
      <c r="H118">
        <v>0</v>
      </c>
      <c r="I118">
        <v>0</v>
      </c>
      <c r="J118" s="1">
        <v>1</v>
      </c>
      <c r="L118">
        <f t="shared" si="1"/>
        <v>0</v>
      </c>
    </row>
    <row r="119" spans="1:12" x14ac:dyDescent="0.3">
      <c r="A119">
        <v>50</v>
      </c>
      <c r="B119">
        <v>5</v>
      </c>
      <c r="C119" s="1">
        <v>70</v>
      </c>
      <c r="D119">
        <v>1.1499999999999999</v>
      </c>
      <c r="E119">
        <v>2</v>
      </c>
      <c r="F119">
        <v>2</v>
      </c>
      <c r="G119">
        <v>1.0660000000000001</v>
      </c>
      <c r="H119">
        <v>0</v>
      </c>
      <c r="I119">
        <v>0</v>
      </c>
      <c r="J119" s="1">
        <v>1</v>
      </c>
      <c r="L119">
        <f t="shared" si="1"/>
        <v>0</v>
      </c>
    </row>
    <row r="120" spans="1:12" x14ac:dyDescent="0.3">
      <c r="A120">
        <v>50</v>
      </c>
      <c r="B120">
        <v>5</v>
      </c>
      <c r="C120" s="1">
        <v>80</v>
      </c>
      <c r="D120">
        <v>1.1499999999999999</v>
      </c>
      <c r="E120">
        <v>2</v>
      </c>
      <c r="F120">
        <v>2</v>
      </c>
      <c r="G120">
        <v>1.006</v>
      </c>
      <c r="H120">
        <v>0</v>
      </c>
      <c r="I120">
        <v>0</v>
      </c>
      <c r="J120" s="1">
        <v>1</v>
      </c>
      <c r="L120">
        <f t="shared" si="1"/>
        <v>0</v>
      </c>
    </row>
    <row r="121" spans="1:12" x14ac:dyDescent="0.3">
      <c r="A121">
        <v>50</v>
      </c>
      <c r="B121">
        <v>5</v>
      </c>
      <c r="C121" s="1">
        <v>90</v>
      </c>
      <c r="D121">
        <v>1.1499999999999999</v>
      </c>
      <c r="E121">
        <v>2</v>
      </c>
      <c r="F121">
        <v>2</v>
      </c>
      <c r="G121">
        <v>0.98699999999999999</v>
      </c>
      <c r="H121">
        <v>0</v>
      </c>
      <c r="I121">
        <v>0</v>
      </c>
      <c r="J121" s="1">
        <v>1</v>
      </c>
      <c r="L121">
        <f t="shared" si="1"/>
        <v>0</v>
      </c>
    </row>
    <row r="122" spans="1:12" s="2" customFormat="1" x14ac:dyDescent="0.3">
      <c r="A122" s="2">
        <v>50</v>
      </c>
      <c r="B122" s="2">
        <v>5</v>
      </c>
      <c r="C122" s="3">
        <v>100</v>
      </c>
      <c r="D122" s="2">
        <v>1.1499999999999999</v>
      </c>
      <c r="E122" s="2">
        <v>2</v>
      </c>
      <c r="F122" s="2">
        <v>2</v>
      </c>
      <c r="G122" s="2">
        <v>0.92300000000000004</v>
      </c>
      <c r="H122" s="2">
        <v>0</v>
      </c>
      <c r="I122" s="2">
        <v>0</v>
      </c>
      <c r="J122" s="3">
        <v>1</v>
      </c>
      <c r="K122" s="5">
        <f>AVERAGE(G113:G122)</f>
        <v>0.96540000000000004</v>
      </c>
      <c r="L122" s="2">
        <f t="shared" si="1"/>
        <v>0</v>
      </c>
    </row>
    <row r="123" spans="1:12" x14ac:dyDescent="0.3">
      <c r="A123">
        <v>60</v>
      </c>
      <c r="B123">
        <v>2</v>
      </c>
      <c r="C123" s="1">
        <v>10</v>
      </c>
      <c r="D123">
        <v>1.1499999999999999</v>
      </c>
      <c r="E123">
        <v>6</v>
      </c>
      <c r="F123">
        <v>6</v>
      </c>
      <c r="G123">
        <v>4.3730000000000002</v>
      </c>
      <c r="H123">
        <v>0</v>
      </c>
      <c r="I123">
        <v>0</v>
      </c>
      <c r="J123" s="1">
        <v>1</v>
      </c>
      <c r="L123">
        <f t="shared" si="1"/>
        <v>0</v>
      </c>
    </row>
    <row r="124" spans="1:12" x14ac:dyDescent="0.3">
      <c r="A124">
        <v>60</v>
      </c>
      <c r="B124">
        <v>2</v>
      </c>
      <c r="C124" s="1">
        <v>20</v>
      </c>
      <c r="D124">
        <v>1.1499999999999999</v>
      </c>
      <c r="E124">
        <v>6</v>
      </c>
      <c r="F124">
        <v>6</v>
      </c>
      <c r="G124">
        <v>4.1059999999999999</v>
      </c>
      <c r="H124">
        <v>0</v>
      </c>
      <c r="I124">
        <v>0</v>
      </c>
      <c r="J124" s="1">
        <v>1</v>
      </c>
      <c r="L124">
        <f t="shared" si="1"/>
        <v>0</v>
      </c>
    </row>
    <row r="125" spans="1:12" x14ac:dyDescent="0.3">
      <c r="A125">
        <v>60</v>
      </c>
      <c r="B125">
        <v>2</v>
      </c>
      <c r="C125" s="1">
        <v>30</v>
      </c>
      <c r="D125">
        <v>1.1499999999999999</v>
      </c>
      <c r="E125">
        <v>6</v>
      </c>
      <c r="F125">
        <v>6</v>
      </c>
      <c r="G125">
        <v>4.2779999999999996</v>
      </c>
      <c r="H125">
        <v>0</v>
      </c>
      <c r="I125">
        <v>0</v>
      </c>
      <c r="J125" s="1">
        <v>1</v>
      </c>
      <c r="L125">
        <f t="shared" si="1"/>
        <v>0</v>
      </c>
    </row>
    <row r="126" spans="1:12" x14ac:dyDescent="0.3">
      <c r="A126">
        <v>60</v>
      </c>
      <c r="B126">
        <v>2</v>
      </c>
      <c r="C126" s="1">
        <v>40</v>
      </c>
      <c r="D126">
        <v>1.1499999999999999</v>
      </c>
      <c r="E126">
        <v>6</v>
      </c>
      <c r="F126">
        <v>6</v>
      </c>
      <c r="G126">
        <v>4.2009999999999996</v>
      </c>
      <c r="H126">
        <v>0</v>
      </c>
      <c r="I126">
        <v>0</v>
      </c>
      <c r="J126" s="1">
        <v>1</v>
      </c>
      <c r="L126">
        <f t="shared" si="1"/>
        <v>0</v>
      </c>
    </row>
    <row r="127" spans="1:12" x14ac:dyDescent="0.3">
      <c r="A127">
        <v>60</v>
      </c>
      <c r="B127">
        <v>2</v>
      </c>
      <c r="C127" s="1">
        <v>50</v>
      </c>
      <c r="D127">
        <v>1.1499999999999999</v>
      </c>
      <c r="E127">
        <v>6</v>
      </c>
      <c r="F127">
        <v>6</v>
      </c>
      <c r="G127">
        <v>4.3019999999999996</v>
      </c>
      <c r="H127">
        <v>0</v>
      </c>
      <c r="I127">
        <v>0</v>
      </c>
      <c r="J127" s="1">
        <v>1</v>
      </c>
      <c r="L127">
        <f t="shared" si="1"/>
        <v>0</v>
      </c>
    </row>
    <row r="128" spans="1:12" x14ac:dyDescent="0.3">
      <c r="A128">
        <v>60</v>
      </c>
      <c r="B128">
        <v>2</v>
      </c>
      <c r="C128" s="1">
        <v>60</v>
      </c>
      <c r="D128">
        <v>1.1499999999999999</v>
      </c>
      <c r="E128">
        <v>6</v>
      </c>
      <c r="F128">
        <v>6</v>
      </c>
      <c r="G128">
        <v>4.5590000000000002</v>
      </c>
      <c r="H128">
        <v>0</v>
      </c>
      <c r="I128">
        <v>0</v>
      </c>
      <c r="J128" s="1">
        <v>1</v>
      </c>
      <c r="L128">
        <f t="shared" si="1"/>
        <v>0</v>
      </c>
    </row>
    <row r="129" spans="1:12" x14ac:dyDescent="0.3">
      <c r="A129">
        <v>60</v>
      </c>
      <c r="B129">
        <v>2</v>
      </c>
      <c r="C129" s="1">
        <v>70</v>
      </c>
      <c r="D129">
        <v>1.1499999999999999</v>
      </c>
      <c r="E129">
        <v>6</v>
      </c>
      <c r="F129">
        <v>6</v>
      </c>
      <c r="G129">
        <v>4.4740000000000002</v>
      </c>
      <c r="H129">
        <v>0</v>
      </c>
      <c r="I129">
        <v>0</v>
      </c>
      <c r="J129" s="1">
        <v>1</v>
      </c>
      <c r="L129">
        <f t="shared" si="1"/>
        <v>0</v>
      </c>
    </row>
    <row r="130" spans="1:12" x14ac:dyDescent="0.3">
      <c r="A130">
        <v>60</v>
      </c>
      <c r="B130">
        <v>2</v>
      </c>
      <c r="C130" s="1">
        <v>80</v>
      </c>
      <c r="D130">
        <v>1.1499999999999999</v>
      </c>
      <c r="E130">
        <v>6</v>
      </c>
      <c r="F130">
        <v>6</v>
      </c>
      <c r="G130">
        <v>4.1779999999999999</v>
      </c>
      <c r="H130">
        <v>0</v>
      </c>
      <c r="I130">
        <v>0</v>
      </c>
      <c r="J130" s="1">
        <v>1</v>
      </c>
      <c r="L130">
        <f t="shared" si="1"/>
        <v>0</v>
      </c>
    </row>
    <row r="131" spans="1:12" x14ac:dyDescent="0.3">
      <c r="A131">
        <v>60</v>
      </c>
      <c r="B131">
        <v>2</v>
      </c>
      <c r="C131" s="1">
        <v>90</v>
      </c>
      <c r="D131">
        <v>1.1499999999999999</v>
      </c>
      <c r="E131">
        <v>6</v>
      </c>
      <c r="F131">
        <v>6</v>
      </c>
      <c r="G131">
        <v>4.2249999999999996</v>
      </c>
      <c r="H131">
        <v>0</v>
      </c>
      <c r="I131">
        <v>0</v>
      </c>
      <c r="J131" s="1">
        <v>1</v>
      </c>
      <c r="L131">
        <f t="shared" ref="L131:L194" si="2">IF(ISBLANK(E131),IF(ISBLANK(F131),"",100), IF(E131+F131=0, 0, IF(G131=3600, IF(E131=F131,1,(E131-F131)/E131*100), 0)))</f>
        <v>0</v>
      </c>
    </row>
    <row r="132" spans="1:12" s="2" customFormat="1" x14ac:dyDescent="0.3">
      <c r="A132" s="2">
        <v>60</v>
      </c>
      <c r="B132" s="2">
        <v>2</v>
      </c>
      <c r="C132" s="3">
        <v>100</v>
      </c>
      <c r="D132" s="2">
        <v>1.1499999999999999</v>
      </c>
      <c r="E132" s="2">
        <v>6</v>
      </c>
      <c r="F132" s="2">
        <v>6</v>
      </c>
      <c r="G132" s="2">
        <v>4.26</v>
      </c>
      <c r="H132" s="2">
        <v>0</v>
      </c>
      <c r="I132" s="2">
        <v>0</v>
      </c>
      <c r="J132" s="3">
        <v>1</v>
      </c>
      <c r="K132" s="5">
        <f>AVERAGE(G123:G132)</f>
        <v>4.2955999999999994</v>
      </c>
      <c r="L132" s="2">
        <f t="shared" si="2"/>
        <v>0</v>
      </c>
    </row>
    <row r="133" spans="1:12" x14ac:dyDescent="0.3">
      <c r="A133">
        <v>60</v>
      </c>
      <c r="B133">
        <v>3</v>
      </c>
      <c r="C133" s="1">
        <v>10</v>
      </c>
      <c r="D133">
        <v>1.1499999999999999</v>
      </c>
      <c r="E133">
        <v>5</v>
      </c>
      <c r="F133">
        <v>5</v>
      </c>
      <c r="G133">
        <v>2.6840000000000002</v>
      </c>
      <c r="H133">
        <v>0</v>
      </c>
      <c r="I133">
        <v>0</v>
      </c>
      <c r="J133" s="1">
        <v>1</v>
      </c>
      <c r="L133">
        <f t="shared" si="2"/>
        <v>0</v>
      </c>
    </row>
    <row r="134" spans="1:12" x14ac:dyDescent="0.3">
      <c r="A134">
        <v>60</v>
      </c>
      <c r="B134">
        <v>3</v>
      </c>
      <c r="C134" s="1">
        <v>20</v>
      </c>
      <c r="D134">
        <v>1.1499999999999999</v>
      </c>
      <c r="E134">
        <v>5</v>
      </c>
      <c r="F134">
        <v>5</v>
      </c>
      <c r="G134">
        <v>3.306</v>
      </c>
      <c r="H134">
        <v>0</v>
      </c>
      <c r="I134">
        <v>0</v>
      </c>
      <c r="J134" s="1">
        <v>1</v>
      </c>
      <c r="L134">
        <f t="shared" si="2"/>
        <v>0</v>
      </c>
    </row>
    <row r="135" spans="1:12" x14ac:dyDescent="0.3">
      <c r="A135">
        <v>60</v>
      </c>
      <c r="B135">
        <v>3</v>
      </c>
      <c r="C135" s="1">
        <v>30</v>
      </c>
      <c r="D135">
        <v>1.1499999999999999</v>
      </c>
      <c r="E135">
        <v>5</v>
      </c>
      <c r="F135">
        <v>5</v>
      </c>
      <c r="G135">
        <v>4.79</v>
      </c>
      <c r="H135">
        <v>0</v>
      </c>
      <c r="I135">
        <v>0</v>
      </c>
      <c r="J135" s="1">
        <v>1</v>
      </c>
      <c r="L135">
        <f t="shared" si="2"/>
        <v>0</v>
      </c>
    </row>
    <row r="136" spans="1:12" x14ac:dyDescent="0.3">
      <c r="A136">
        <v>60</v>
      </c>
      <c r="B136">
        <v>3</v>
      </c>
      <c r="C136" s="1">
        <v>40</v>
      </c>
      <c r="D136">
        <v>1.1499999999999999</v>
      </c>
      <c r="E136">
        <v>5</v>
      </c>
      <c r="F136">
        <v>5</v>
      </c>
      <c r="G136">
        <v>3.2679999999999998</v>
      </c>
      <c r="H136">
        <v>0</v>
      </c>
      <c r="I136">
        <v>0</v>
      </c>
      <c r="J136" s="1">
        <v>1</v>
      </c>
      <c r="L136">
        <f t="shared" si="2"/>
        <v>0</v>
      </c>
    </row>
    <row r="137" spans="1:12" x14ac:dyDescent="0.3">
      <c r="A137">
        <v>60</v>
      </c>
      <c r="B137">
        <v>3</v>
      </c>
      <c r="C137" s="1">
        <v>50</v>
      </c>
      <c r="D137">
        <v>1.1499999999999999</v>
      </c>
      <c r="E137">
        <v>5</v>
      </c>
      <c r="F137">
        <v>5</v>
      </c>
      <c r="G137">
        <v>2.7669999999999999</v>
      </c>
      <c r="H137">
        <v>0</v>
      </c>
      <c r="I137">
        <v>0</v>
      </c>
      <c r="J137" s="1">
        <v>1</v>
      </c>
      <c r="L137">
        <f t="shared" si="2"/>
        <v>0</v>
      </c>
    </row>
    <row r="138" spans="1:12" x14ac:dyDescent="0.3">
      <c r="A138">
        <v>60</v>
      </c>
      <c r="B138">
        <v>3</v>
      </c>
      <c r="C138" s="1">
        <v>60</v>
      </c>
      <c r="D138">
        <v>1.1499999999999999</v>
      </c>
      <c r="E138">
        <v>5</v>
      </c>
      <c r="F138">
        <v>5</v>
      </c>
      <c r="G138">
        <v>3.625</v>
      </c>
      <c r="H138">
        <v>0</v>
      </c>
      <c r="I138">
        <v>0</v>
      </c>
      <c r="J138" s="1">
        <v>1</v>
      </c>
      <c r="L138">
        <f t="shared" si="2"/>
        <v>0</v>
      </c>
    </row>
    <row r="139" spans="1:12" x14ac:dyDescent="0.3">
      <c r="A139">
        <v>60</v>
      </c>
      <c r="B139">
        <v>3</v>
      </c>
      <c r="C139" s="1">
        <v>70</v>
      </c>
      <c r="D139">
        <v>1.1499999999999999</v>
      </c>
      <c r="E139">
        <v>5</v>
      </c>
      <c r="F139">
        <v>5</v>
      </c>
      <c r="G139">
        <v>5.4119999999999999</v>
      </c>
      <c r="H139">
        <v>0</v>
      </c>
      <c r="I139">
        <v>0</v>
      </c>
      <c r="J139" s="1">
        <v>1</v>
      </c>
      <c r="L139">
        <f t="shared" si="2"/>
        <v>0</v>
      </c>
    </row>
    <row r="140" spans="1:12" x14ac:dyDescent="0.3">
      <c r="A140">
        <v>60</v>
      </c>
      <c r="B140">
        <v>3</v>
      </c>
      <c r="C140" s="1">
        <v>80</v>
      </c>
      <c r="D140">
        <v>1.1499999999999999</v>
      </c>
      <c r="E140">
        <v>5</v>
      </c>
      <c r="F140">
        <v>5</v>
      </c>
      <c r="G140">
        <v>3.1469999999999998</v>
      </c>
      <c r="H140">
        <v>0</v>
      </c>
      <c r="I140">
        <v>0</v>
      </c>
      <c r="J140" s="1">
        <v>1</v>
      </c>
      <c r="L140">
        <f t="shared" si="2"/>
        <v>0</v>
      </c>
    </row>
    <row r="141" spans="1:12" x14ac:dyDescent="0.3">
      <c r="A141">
        <v>60</v>
      </c>
      <c r="B141">
        <v>3</v>
      </c>
      <c r="C141" s="1">
        <v>90</v>
      </c>
      <c r="D141">
        <v>1.1499999999999999</v>
      </c>
      <c r="E141">
        <v>5</v>
      </c>
      <c r="F141">
        <v>5</v>
      </c>
      <c r="G141">
        <v>3.3010000000000002</v>
      </c>
      <c r="H141">
        <v>0</v>
      </c>
      <c r="I141">
        <v>0</v>
      </c>
      <c r="J141" s="1">
        <v>1</v>
      </c>
      <c r="L141">
        <f t="shared" si="2"/>
        <v>0</v>
      </c>
    </row>
    <row r="142" spans="1:12" s="2" customFormat="1" x14ac:dyDescent="0.3">
      <c r="A142" s="2">
        <v>60</v>
      </c>
      <c r="B142" s="2">
        <v>3</v>
      </c>
      <c r="C142" s="3">
        <v>100</v>
      </c>
      <c r="D142" s="2">
        <v>1.1499999999999999</v>
      </c>
      <c r="E142" s="2">
        <v>5</v>
      </c>
      <c r="F142" s="2">
        <v>5</v>
      </c>
      <c r="G142" s="2">
        <v>3.2570000000000001</v>
      </c>
      <c r="H142" s="2">
        <v>0</v>
      </c>
      <c r="I142" s="2">
        <v>0</v>
      </c>
      <c r="J142" s="3">
        <v>1</v>
      </c>
      <c r="K142" s="5">
        <f>AVERAGE(G133:G142)</f>
        <v>3.5556999999999994</v>
      </c>
      <c r="L142" s="2">
        <f t="shared" si="2"/>
        <v>0</v>
      </c>
    </row>
    <row r="143" spans="1:12" x14ac:dyDescent="0.3">
      <c r="A143">
        <v>60</v>
      </c>
      <c r="B143">
        <v>4</v>
      </c>
      <c r="C143" s="1">
        <v>10</v>
      </c>
      <c r="D143">
        <v>1.1499999999999999</v>
      </c>
      <c r="E143">
        <v>4</v>
      </c>
      <c r="F143">
        <v>4</v>
      </c>
      <c r="G143">
        <v>2.2440000000000002</v>
      </c>
      <c r="H143">
        <v>0</v>
      </c>
      <c r="I143">
        <v>0</v>
      </c>
      <c r="J143" s="1">
        <v>1</v>
      </c>
      <c r="L143">
        <f t="shared" si="2"/>
        <v>0</v>
      </c>
    </row>
    <row r="144" spans="1:12" x14ac:dyDescent="0.3">
      <c r="A144">
        <v>60</v>
      </c>
      <c r="B144">
        <v>4</v>
      </c>
      <c r="C144" s="1">
        <v>20</v>
      </c>
      <c r="D144">
        <v>1.1499999999999999</v>
      </c>
      <c r="E144">
        <v>4</v>
      </c>
      <c r="F144">
        <v>4</v>
      </c>
      <c r="G144">
        <v>2.7010000000000001</v>
      </c>
      <c r="H144">
        <v>0</v>
      </c>
      <c r="I144">
        <v>0</v>
      </c>
      <c r="J144" s="1">
        <v>1</v>
      </c>
      <c r="L144">
        <f t="shared" si="2"/>
        <v>0</v>
      </c>
    </row>
    <row r="145" spans="1:12" x14ac:dyDescent="0.3">
      <c r="A145">
        <v>60</v>
      </c>
      <c r="B145">
        <v>4</v>
      </c>
      <c r="C145" s="1">
        <v>30</v>
      </c>
      <c r="D145">
        <v>1.1499999999999999</v>
      </c>
      <c r="E145">
        <v>4</v>
      </c>
      <c r="F145">
        <v>4</v>
      </c>
      <c r="G145">
        <v>3.1589999999999998</v>
      </c>
      <c r="H145">
        <v>0</v>
      </c>
      <c r="I145">
        <v>0</v>
      </c>
      <c r="J145" s="1">
        <v>1</v>
      </c>
      <c r="L145">
        <f t="shared" si="2"/>
        <v>0</v>
      </c>
    </row>
    <row r="146" spans="1:12" x14ac:dyDescent="0.3">
      <c r="A146">
        <v>60</v>
      </c>
      <c r="B146">
        <v>4</v>
      </c>
      <c r="C146" s="1">
        <v>40</v>
      </c>
      <c r="D146">
        <v>1.1499999999999999</v>
      </c>
      <c r="E146">
        <v>4</v>
      </c>
      <c r="F146">
        <v>4</v>
      </c>
      <c r="G146">
        <v>2.7440000000000002</v>
      </c>
      <c r="H146">
        <v>0</v>
      </c>
      <c r="I146">
        <v>0</v>
      </c>
      <c r="J146" s="1">
        <v>1</v>
      </c>
      <c r="L146">
        <f t="shared" si="2"/>
        <v>0</v>
      </c>
    </row>
    <row r="147" spans="1:12" x14ac:dyDescent="0.3">
      <c r="A147">
        <v>60</v>
      </c>
      <c r="B147">
        <v>4</v>
      </c>
      <c r="C147" s="1">
        <v>50</v>
      </c>
      <c r="D147">
        <v>1.1499999999999999</v>
      </c>
      <c r="E147">
        <v>4</v>
      </c>
      <c r="F147">
        <v>4</v>
      </c>
      <c r="G147">
        <v>2.37</v>
      </c>
      <c r="H147">
        <v>0</v>
      </c>
      <c r="I147">
        <v>0</v>
      </c>
      <c r="J147" s="1">
        <v>1</v>
      </c>
      <c r="L147">
        <f t="shared" si="2"/>
        <v>0</v>
      </c>
    </row>
    <row r="148" spans="1:12" x14ac:dyDescent="0.3">
      <c r="A148">
        <v>60</v>
      </c>
      <c r="B148">
        <v>4</v>
      </c>
      <c r="C148" s="1">
        <v>60</v>
      </c>
      <c r="D148">
        <v>1.1499999999999999</v>
      </c>
      <c r="E148">
        <v>4</v>
      </c>
      <c r="F148">
        <v>4</v>
      </c>
      <c r="G148">
        <v>2.573</v>
      </c>
      <c r="H148">
        <v>0</v>
      </c>
      <c r="I148">
        <v>0</v>
      </c>
      <c r="J148" s="1">
        <v>1</v>
      </c>
      <c r="L148">
        <f t="shared" si="2"/>
        <v>0</v>
      </c>
    </row>
    <row r="149" spans="1:12" x14ac:dyDescent="0.3">
      <c r="A149">
        <v>60</v>
      </c>
      <c r="B149">
        <v>4</v>
      </c>
      <c r="C149" s="1">
        <v>70</v>
      </c>
      <c r="D149">
        <v>1.1499999999999999</v>
      </c>
      <c r="E149">
        <v>4</v>
      </c>
      <c r="F149">
        <v>4</v>
      </c>
      <c r="G149">
        <v>3.43</v>
      </c>
      <c r="H149">
        <v>0</v>
      </c>
      <c r="I149">
        <v>0</v>
      </c>
      <c r="J149" s="1">
        <v>1</v>
      </c>
      <c r="L149">
        <f t="shared" si="2"/>
        <v>0</v>
      </c>
    </row>
    <row r="150" spans="1:12" x14ac:dyDescent="0.3">
      <c r="A150">
        <v>60</v>
      </c>
      <c r="B150">
        <v>4</v>
      </c>
      <c r="C150" s="1">
        <v>80</v>
      </c>
      <c r="D150">
        <v>1.1499999999999999</v>
      </c>
      <c r="E150">
        <v>4</v>
      </c>
      <c r="F150">
        <v>4</v>
      </c>
      <c r="G150">
        <v>2.9529999999999998</v>
      </c>
      <c r="H150">
        <v>0</v>
      </c>
      <c r="I150">
        <v>0</v>
      </c>
      <c r="J150" s="1">
        <v>1</v>
      </c>
      <c r="L150">
        <f t="shared" si="2"/>
        <v>0</v>
      </c>
    </row>
    <row r="151" spans="1:12" x14ac:dyDescent="0.3">
      <c r="A151">
        <v>60</v>
      </c>
      <c r="B151">
        <v>4</v>
      </c>
      <c r="C151" s="1">
        <v>90</v>
      </c>
      <c r="D151">
        <v>1.1499999999999999</v>
      </c>
      <c r="E151">
        <v>4</v>
      </c>
      <c r="F151">
        <v>4</v>
      </c>
      <c r="G151">
        <v>2.524</v>
      </c>
      <c r="H151">
        <v>0</v>
      </c>
      <c r="I151">
        <v>0</v>
      </c>
      <c r="J151" s="1">
        <v>1</v>
      </c>
      <c r="L151">
        <f t="shared" si="2"/>
        <v>0</v>
      </c>
    </row>
    <row r="152" spans="1:12" s="2" customFormat="1" x14ac:dyDescent="0.3">
      <c r="A152" s="2">
        <v>60</v>
      </c>
      <c r="B152" s="2">
        <v>4</v>
      </c>
      <c r="C152" s="3">
        <v>100</v>
      </c>
      <c r="D152" s="2">
        <v>1.1499999999999999</v>
      </c>
      <c r="E152" s="2">
        <v>4</v>
      </c>
      <c r="F152" s="2">
        <v>4</v>
      </c>
      <c r="G152" s="2">
        <v>2.964</v>
      </c>
      <c r="H152" s="2">
        <v>0</v>
      </c>
      <c r="I152" s="2">
        <v>0</v>
      </c>
      <c r="J152" s="3">
        <v>1</v>
      </c>
      <c r="K152" s="5">
        <f>AVERAGE(G143:G152)</f>
        <v>2.7662</v>
      </c>
      <c r="L152" s="2">
        <f t="shared" si="2"/>
        <v>0</v>
      </c>
    </row>
    <row r="153" spans="1:12" x14ac:dyDescent="0.3">
      <c r="A153">
        <v>60</v>
      </c>
      <c r="B153">
        <v>5</v>
      </c>
      <c r="C153" s="1">
        <v>10</v>
      </c>
      <c r="D153">
        <v>1.1499999999999999</v>
      </c>
      <c r="E153">
        <v>3</v>
      </c>
      <c r="F153">
        <v>3</v>
      </c>
      <c r="G153">
        <v>1.6539999999999999</v>
      </c>
      <c r="H153">
        <v>0</v>
      </c>
      <c r="I153">
        <v>0</v>
      </c>
      <c r="J153" s="1">
        <v>1</v>
      </c>
      <c r="L153">
        <f t="shared" si="2"/>
        <v>0</v>
      </c>
    </row>
    <row r="154" spans="1:12" x14ac:dyDescent="0.3">
      <c r="A154">
        <v>60</v>
      </c>
      <c r="B154">
        <v>5</v>
      </c>
      <c r="C154" s="1">
        <v>20</v>
      </c>
      <c r="D154">
        <v>1.1499999999999999</v>
      </c>
      <c r="E154">
        <v>3</v>
      </c>
      <c r="F154">
        <v>3</v>
      </c>
      <c r="G154">
        <v>1.6879999999999999</v>
      </c>
      <c r="H154">
        <v>0</v>
      </c>
      <c r="I154">
        <v>0</v>
      </c>
      <c r="J154" s="1">
        <v>1</v>
      </c>
      <c r="L154">
        <f t="shared" si="2"/>
        <v>0</v>
      </c>
    </row>
    <row r="155" spans="1:12" x14ac:dyDescent="0.3">
      <c r="A155">
        <v>60</v>
      </c>
      <c r="B155">
        <v>5</v>
      </c>
      <c r="C155" s="1">
        <v>30</v>
      </c>
      <c r="D155">
        <v>1.1499999999999999</v>
      </c>
      <c r="E155">
        <v>3</v>
      </c>
      <c r="F155">
        <v>3</v>
      </c>
      <c r="G155">
        <v>2.0230000000000001</v>
      </c>
      <c r="H155">
        <v>0</v>
      </c>
      <c r="I155">
        <v>0</v>
      </c>
      <c r="J155" s="1">
        <v>1</v>
      </c>
      <c r="L155">
        <f t="shared" si="2"/>
        <v>0</v>
      </c>
    </row>
    <row r="156" spans="1:12" x14ac:dyDescent="0.3">
      <c r="A156">
        <v>60</v>
      </c>
      <c r="B156">
        <v>5</v>
      </c>
      <c r="C156" s="1">
        <v>40</v>
      </c>
      <c r="D156">
        <v>1.1499999999999999</v>
      </c>
      <c r="E156">
        <v>3</v>
      </c>
      <c r="F156">
        <v>3</v>
      </c>
      <c r="G156">
        <v>1.6619999999999999</v>
      </c>
      <c r="H156">
        <v>0</v>
      </c>
      <c r="I156">
        <v>0</v>
      </c>
      <c r="J156" s="1">
        <v>1</v>
      </c>
      <c r="L156">
        <f t="shared" si="2"/>
        <v>0</v>
      </c>
    </row>
    <row r="157" spans="1:12" x14ac:dyDescent="0.3">
      <c r="A157">
        <v>60</v>
      </c>
      <c r="B157">
        <v>5</v>
      </c>
      <c r="C157" s="1">
        <v>50</v>
      </c>
      <c r="D157">
        <v>1.1499999999999999</v>
      </c>
      <c r="E157">
        <v>3</v>
      </c>
      <c r="F157">
        <v>3</v>
      </c>
      <c r="G157">
        <v>1.7</v>
      </c>
      <c r="H157">
        <v>0</v>
      </c>
      <c r="I157">
        <v>0</v>
      </c>
      <c r="J157" s="1">
        <v>1</v>
      </c>
      <c r="L157">
        <f t="shared" si="2"/>
        <v>0</v>
      </c>
    </row>
    <row r="158" spans="1:12" x14ac:dyDescent="0.3">
      <c r="A158">
        <v>60</v>
      </c>
      <c r="B158">
        <v>5</v>
      </c>
      <c r="C158" s="1">
        <v>60</v>
      </c>
      <c r="D158">
        <v>1.1499999999999999</v>
      </c>
      <c r="E158">
        <v>3</v>
      </c>
      <c r="F158">
        <v>3</v>
      </c>
      <c r="G158">
        <v>1.6859999999999999</v>
      </c>
      <c r="H158">
        <v>0</v>
      </c>
      <c r="I158">
        <v>0</v>
      </c>
      <c r="J158" s="1">
        <v>1</v>
      </c>
      <c r="L158">
        <f t="shared" si="2"/>
        <v>0</v>
      </c>
    </row>
    <row r="159" spans="1:12" x14ac:dyDescent="0.3">
      <c r="A159">
        <v>60</v>
      </c>
      <c r="B159">
        <v>5</v>
      </c>
      <c r="C159" s="1">
        <v>70</v>
      </c>
      <c r="D159">
        <v>1.1499999999999999</v>
      </c>
      <c r="E159">
        <v>3</v>
      </c>
      <c r="F159">
        <v>3</v>
      </c>
      <c r="G159">
        <v>1.9470000000000001</v>
      </c>
      <c r="H159">
        <v>0</v>
      </c>
      <c r="I159">
        <v>0</v>
      </c>
      <c r="J159" s="1">
        <v>1</v>
      </c>
      <c r="L159">
        <f t="shared" si="2"/>
        <v>0</v>
      </c>
    </row>
    <row r="160" spans="1:12" x14ac:dyDescent="0.3">
      <c r="A160">
        <v>60</v>
      </c>
      <c r="B160">
        <v>5</v>
      </c>
      <c r="C160" s="1">
        <v>80</v>
      </c>
      <c r="D160">
        <v>1.1499999999999999</v>
      </c>
      <c r="E160">
        <v>3</v>
      </c>
      <c r="F160">
        <v>3</v>
      </c>
      <c r="G160">
        <v>1.6519999999999999</v>
      </c>
      <c r="H160">
        <v>0</v>
      </c>
      <c r="I160">
        <v>0</v>
      </c>
      <c r="J160" s="1">
        <v>1</v>
      </c>
      <c r="L160">
        <f t="shared" si="2"/>
        <v>0</v>
      </c>
    </row>
    <row r="161" spans="1:12" x14ac:dyDescent="0.3">
      <c r="A161">
        <v>60</v>
      </c>
      <c r="B161">
        <v>5</v>
      </c>
      <c r="C161" s="1">
        <v>90</v>
      </c>
      <c r="D161">
        <v>1.1499999999999999</v>
      </c>
      <c r="E161">
        <v>3</v>
      </c>
      <c r="F161">
        <v>3</v>
      </c>
      <c r="G161">
        <v>1.792</v>
      </c>
      <c r="H161">
        <v>0</v>
      </c>
      <c r="I161">
        <v>0</v>
      </c>
      <c r="J161" s="1">
        <v>1</v>
      </c>
      <c r="L161">
        <f t="shared" si="2"/>
        <v>0</v>
      </c>
    </row>
    <row r="162" spans="1:12" s="2" customFormat="1" x14ac:dyDescent="0.3">
      <c r="A162" s="2">
        <v>60</v>
      </c>
      <c r="B162" s="2">
        <v>5</v>
      </c>
      <c r="C162" s="3">
        <v>100</v>
      </c>
      <c r="D162" s="2">
        <v>1.1499999999999999</v>
      </c>
      <c r="E162" s="2">
        <v>3</v>
      </c>
      <c r="F162" s="2">
        <v>3</v>
      </c>
      <c r="G162" s="2">
        <v>1.643</v>
      </c>
      <c r="H162" s="2">
        <v>0</v>
      </c>
      <c r="I162" s="2">
        <v>0</v>
      </c>
      <c r="J162" s="3">
        <v>1</v>
      </c>
      <c r="K162" s="5">
        <f>AVERAGE(G153:G162)</f>
        <v>1.7446999999999999</v>
      </c>
      <c r="L162" s="2">
        <f t="shared" si="2"/>
        <v>0</v>
      </c>
    </row>
    <row r="163" spans="1:12" x14ac:dyDescent="0.3">
      <c r="A163">
        <v>70</v>
      </c>
      <c r="B163">
        <v>2</v>
      </c>
      <c r="C163" s="1">
        <v>10</v>
      </c>
      <c r="D163">
        <v>1.1499999999999999</v>
      </c>
      <c r="E163">
        <v>7</v>
      </c>
      <c r="F163">
        <v>7</v>
      </c>
      <c r="G163">
        <v>8.5609999999999999</v>
      </c>
      <c r="H163">
        <v>0</v>
      </c>
      <c r="I163">
        <v>0</v>
      </c>
      <c r="J163" s="1">
        <v>1</v>
      </c>
      <c r="L163">
        <f t="shared" si="2"/>
        <v>0</v>
      </c>
    </row>
    <row r="164" spans="1:12" x14ac:dyDescent="0.3">
      <c r="A164">
        <v>70</v>
      </c>
      <c r="B164">
        <v>2</v>
      </c>
      <c r="C164" s="1">
        <v>20</v>
      </c>
      <c r="D164">
        <v>1.1499999999999999</v>
      </c>
      <c r="E164">
        <v>7</v>
      </c>
      <c r="F164">
        <v>7</v>
      </c>
      <c r="G164">
        <v>9.1470000000000002</v>
      </c>
      <c r="H164">
        <v>0</v>
      </c>
      <c r="I164">
        <v>0</v>
      </c>
      <c r="J164" s="1">
        <v>1</v>
      </c>
      <c r="L164">
        <f t="shared" si="2"/>
        <v>0</v>
      </c>
    </row>
    <row r="165" spans="1:12" x14ac:dyDescent="0.3">
      <c r="A165">
        <v>70</v>
      </c>
      <c r="B165">
        <v>2</v>
      </c>
      <c r="C165" s="1">
        <v>30</v>
      </c>
      <c r="D165">
        <v>1.1499999999999999</v>
      </c>
      <c r="E165">
        <v>7</v>
      </c>
      <c r="F165">
        <v>7</v>
      </c>
      <c r="G165">
        <v>9.2490000000000006</v>
      </c>
      <c r="H165">
        <v>0</v>
      </c>
      <c r="I165">
        <v>0</v>
      </c>
      <c r="J165" s="1">
        <v>1</v>
      </c>
      <c r="L165">
        <f t="shared" si="2"/>
        <v>0</v>
      </c>
    </row>
    <row r="166" spans="1:12" x14ac:dyDescent="0.3">
      <c r="A166">
        <v>70</v>
      </c>
      <c r="B166">
        <v>2</v>
      </c>
      <c r="C166" s="1">
        <v>40</v>
      </c>
      <c r="D166">
        <v>1.1499999999999999</v>
      </c>
      <c r="E166">
        <v>7</v>
      </c>
      <c r="F166">
        <v>7</v>
      </c>
      <c r="G166">
        <v>9.0690000000000008</v>
      </c>
      <c r="H166">
        <v>0</v>
      </c>
      <c r="I166">
        <v>0</v>
      </c>
      <c r="J166" s="1">
        <v>1</v>
      </c>
      <c r="L166">
        <f t="shared" si="2"/>
        <v>0</v>
      </c>
    </row>
    <row r="167" spans="1:12" x14ac:dyDescent="0.3">
      <c r="A167">
        <v>70</v>
      </c>
      <c r="B167">
        <v>2</v>
      </c>
      <c r="C167" s="1">
        <v>50</v>
      </c>
      <c r="D167">
        <v>1.1499999999999999</v>
      </c>
      <c r="E167">
        <v>7</v>
      </c>
      <c r="F167">
        <v>7</v>
      </c>
      <c r="G167">
        <v>8.42</v>
      </c>
      <c r="H167">
        <v>0</v>
      </c>
      <c r="I167">
        <v>0</v>
      </c>
      <c r="J167" s="1">
        <v>1</v>
      </c>
      <c r="L167">
        <f t="shared" si="2"/>
        <v>0</v>
      </c>
    </row>
    <row r="168" spans="1:12" x14ac:dyDescent="0.3">
      <c r="A168">
        <v>70</v>
      </c>
      <c r="B168">
        <v>2</v>
      </c>
      <c r="C168" s="1">
        <v>60</v>
      </c>
      <c r="D168">
        <v>1.1499999999999999</v>
      </c>
      <c r="E168">
        <v>7</v>
      </c>
      <c r="F168">
        <v>7</v>
      </c>
      <c r="G168">
        <v>193.322</v>
      </c>
      <c r="H168">
        <v>0</v>
      </c>
      <c r="I168">
        <v>0</v>
      </c>
      <c r="J168" s="1">
        <v>2</v>
      </c>
      <c r="L168">
        <f t="shared" si="2"/>
        <v>0</v>
      </c>
    </row>
    <row r="169" spans="1:12" x14ac:dyDescent="0.3">
      <c r="A169">
        <v>70</v>
      </c>
      <c r="B169">
        <v>2</v>
      </c>
      <c r="C169" s="1">
        <v>70</v>
      </c>
      <c r="D169">
        <v>1.1499999999999999</v>
      </c>
      <c r="E169">
        <v>7</v>
      </c>
      <c r="F169">
        <v>7</v>
      </c>
      <c r="G169">
        <v>9.4209999999999994</v>
      </c>
      <c r="H169">
        <v>0</v>
      </c>
      <c r="I169">
        <v>0</v>
      </c>
      <c r="J169" s="1">
        <v>1</v>
      </c>
      <c r="L169">
        <f t="shared" si="2"/>
        <v>0</v>
      </c>
    </row>
    <row r="170" spans="1:12" x14ac:dyDescent="0.3">
      <c r="A170">
        <v>70</v>
      </c>
      <c r="B170">
        <v>2</v>
      </c>
      <c r="C170" s="1">
        <v>80</v>
      </c>
      <c r="D170">
        <v>1.1499999999999999</v>
      </c>
      <c r="E170">
        <v>7</v>
      </c>
      <c r="F170">
        <v>7</v>
      </c>
      <c r="G170">
        <v>194.072</v>
      </c>
      <c r="H170">
        <v>0</v>
      </c>
      <c r="I170">
        <v>0</v>
      </c>
      <c r="J170" s="1">
        <v>2</v>
      </c>
      <c r="L170">
        <f t="shared" si="2"/>
        <v>0</v>
      </c>
    </row>
    <row r="171" spans="1:12" x14ac:dyDescent="0.3">
      <c r="A171">
        <v>70</v>
      </c>
      <c r="B171">
        <v>2</v>
      </c>
      <c r="C171" s="1">
        <v>90</v>
      </c>
      <c r="D171">
        <v>1.1499999999999999</v>
      </c>
      <c r="E171">
        <v>7</v>
      </c>
      <c r="F171">
        <v>7</v>
      </c>
      <c r="G171">
        <v>9.1890000000000001</v>
      </c>
      <c r="H171">
        <v>0</v>
      </c>
      <c r="I171">
        <v>0</v>
      </c>
      <c r="J171" s="1">
        <v>1</v>
      </c>
      <c r="L171">
        <f t="shared" si="2"/>
        <v>0</v>
      </c>
    </row>
    <row r="172" spans="1:12" s="2" customFormat="1" x14ac:dyDescent="0.3">
      <c r="A172" s="2">
        <v>70</v>
      </c>
      <c r="B172" s="2">
        <v>2</v>
      </c>
      <c r="C172" s="3">
        <v>100</v>
      </c>
      <c r="D172" s="2">
        <v>1.1499999999999999</v>
      </c>
      <c r="E172" s="2">
        <v>7</v>
      </c>
      <c r="F172" s="2">
        <v>7</v>
      </c>
      <c r="G172" s="2">
        <v>192.70599999999999</v>
      </c>
      <c r="H172" s="2">
        <v>0</v>
      </c>
      <c r="I172" s="2">
        <v>0</v>
      </c>
      <c r="J172" s="3">
        <v>2</v>
      </c>
      <c r="K172" s="5">
        <f>AVERAGE(G163:G172)</f>
        <v>64.315599999999989</v>
      </c>
      <c r="L172" s="2">
        <f t="shared" si="2"/>
        <v>0</v>
      </c>
    </row>
    <row r="173" spans="1:12" x14ac:dyDescent="0.3">
      <c r="A173">
        <v>70</v>
      </c>
      <c r="B173">
        <v>3</v>
      </c>
      <c r="C173" s="1">
        <v>10</v>
      </c>
      <c r="D173">
        <v>1.1499999999999999</v>
      </c>
      <c r="E173">
        <v>6</v>
      </c>
      <c r="F173">
        <v>6</v>
      </c>
      <c r="G173">
        <v>13.119</v>
      </c>
      <c r="H173">
        <v>0</v>
      </c>
      <c r="I173">
        <v>0</v>
      </c>
      <c r="J173" s="1">
        <v>1</v>
      </c>
      <c r="L173">
        <f t="shared" si="2"/>
        <v>0</v>
      </c>
    </row>
    <row r="174" spans="1:12" x14ac:dyDescent="0.3">
      <c r="A174">
        <v>70</v>
      </c>
      <c r="B174">
        <v>3</v>
      </c>
      <c r="C174" s="1">
        <v>20</v>
      </c>
      <c r="D174">
        <v>1.1499999999999999</v>
      </c>
      <c r="E174">
        <v>6</v>
      </c>
      <c r="F174">
        <v>6</v>
      </c>
      <c r="G174">
        <v>10.193</v>
      </c>
      <c r="H174">
        <v>0</v>
      </c>
      <c r="I174">
        <v>0</v>
      </c>
      <c r="J174" s="1">
        <v>1</v>
      </c>
      <c r="L174">
        <f t="shared" si="2"/>
        <v>0</v>
      </c>
    </row>
    <row r="175" spans="1:12" x14ac:dyDescent="0.3">
      <c r="A175">
        <v>70</v>
      </c>
      <c r="B175">
        <v>3</v>
      </c>
      <c r="C175" s="1">
        <v>30</v>
      </c>
      <c r="D175">
        <v>1.1499999999999999</v>
      </c>
      <c r="E175">
        <v>6</v>
      </c>
      <c r="F175">
        <v>6</v>
      </c>
      <c r="G175">
        <v>13.670999999999999</v>
      </c>
      <c r="H175">
        <v>0</v>
      </c>
      <c r="I175">
        <v>0</v>
      </c>
      <c r="J175" s="1">
        <v>1</v>
      </c>
      <c r="L175">
        <f t="shared" si="2"/>
        <v>0</v>
      </c>
    </row>
    <row r="176" spans="1:12" x14ac:dyDescent="0.3">
      <c r="A176">
        <v>70</v>
      </c>
      <c r="B176">
        <v>3</v>
      </c>
      <c r="C176" s="1">
        <v>40</v>
      </c>
      <c r="D176">
        <v>1.1499999999999999</v>
      </c>
      <c r="E176">
        <v>6</v>
      </c>
      <c r="F176">
        <v>6</v>
      </c>
      <c r="G176">
        <v>9.9350000000000005</v>
      </c>
      <c r="H176">
        <v>0</v>
      </c>
      <c r="I176">
        <v>0</v>
      </c>
      <c r="J176" s="1">
        <v>1</v>
      </c>
      <c r="L176">
        <f t="shared" si="2"/>
        <v>0</v>
      </c>
    </row>
    <row r="177" spans="1:12" x14ac:dyDescent="0.3">
      <c r="A177">
        <v>70</v>
      </c>
      <c r="B177">
        <v>3</v>
      </c>
      <c r="C177" s="1">
        <v>50</v>
      </c>
      <c r="D177">
        <v>1.1499999999999999</v>
      </c>
      <c r="E177">
        <v>6</v>
      </c>
      <c r="F177">
        <v>6</v>
      </c>
      <c r="G177">
        <v>10.942</v>
      </c>
      <c r="H177">
        <v>0</v>
      </c>
      <c r="I177">
        <v>0</v>
      </c>
      <c r="J177" s="1">
        <v>1</v>
      </c>
      <c r="L177">
        <f t="shared" si="2"/>
        <v>0</v>
      </c>
    </row>
    <row r="178" spans="1:12" x14ac:dyDescent="0.3">
      <c r="A178">
        <v>70</v>
      </c>
      <c r="B178">
        <v>3</v>
      </c>
      <c r="C178" s="1">
        <v>60</v>
      </c>
      <c r="D178">
        <v>1.1499999999999999</v>
      </c>
      <c r="E178">
        <v>6</v>
      </c>
      <c r="F178">
        <v>6</v>
      </c>
      <c r="G178">
        <v>12.643000000000001</v>
      </c>
      <c r="H178">
        <v>0</v>
      </c>
      <c r="I178">
        <v>0</v>
      </c>
      <c r="J178" s="1">
        <v>1</v>
      </c>
      <c r="L178">
        <f t="shared" si="2"/>
        <v>0</v>
      </c>
    </row>
    <row r="179" spans="1:12" x14ac:dyDescent="0.3">
      <c r="A179">
        <v>70</v>
      </c>
      <c r="B179">
        <v>3</v>
      </c>
      <c r="C179" s="1">
        <v>70</v>
      </c>
      <c r="D179">
        <v>1.1499999999999999</v>
      </c>
      <c r="E179">
        <v>6</v>
      </c>
      <c r="F179">
        <v>6</v>
      </c>
      <c r="G179">
        <v>10.978999999999999</v>
      </c>
      <c r="H179">
        <v>0</v>
      </c>
      <c r="I179">
        <v>0</v>
      </c>
      <c r="J179" s="1">
        <v>1</v>
      </c>
      <c r="L179">
        <f t="shared" si="2"/>
        <v>0</v>
      </c>
    </row>
    <row r="180" spans="1:12" x14ac:dyDescent="0.3">
      <c r="A180">
        <v>70</v>
      </c>
      <c r="B180">
        <v>3</v>
      </c>
      <c r="C180" s="1">
        <v>80</v>
      </c>
      <c r="D180">
        <v>1.1499999999999999</v>
      </c>
      <c r="E180">
        <v>6</v>
      </c>
      <c r="F180">
        <v>6</v>
      </c>
      <c r="G180">
        <v>12.558999999999999</v>
      </c>
      <c r="H180">
        <v>0</v>
      </c>
      <c r="I180">
        <v>0</v>
      </c>
      <c r="J180" s="1">
        <v>1</v>
      </c>
      <c r="L180">
        <f t="shared" si="2"/>
        <v>0</v>
      </c>
    </row>
    <row r="181" spans="1:12" x14ac:dyDescent="0.3">
      <c r="A181">
        <v>70</v>
      </c>
      <c r="B181">
        <v>3</v>
      </c>
      <c r="C181" s="1">
        <v>90</v>
      </c>
      <c r="D181">
        <v>1.1499999999999999</v>
      </c>
      <c r="E181">
        <v>6</v>
      </c>
      <c r="F181">
        <v>6</v>
      </c>
      <c r="G181">
        <v>11.125</v>
      </c>
      <c r="H181">
        <v>0</v>
      </c>
      <c r="I181">
        <v>0</v>
      </c>
      <c r="J181" s="1">
        <v>1</v>
      </c>
      <c r="L181">
        <f t="shared" si="2"/>
        <v>0</v>
      </c>
    </row>
    <row r="182" spans="1:12" s="2" customFormat="1" x14ac:dyDescent="0.3">
      <c r="A182" s="2">
        <v>70</v>
      </c>
      <c r="B182" s="2">
        <v>3</v>
      </c>
      <c r="C182" s="3">
        <v>100</v>
      </c>
      <c r="D182" s="2">
        <v>1.1499999999999999</v>
      </c>
      <c r="E182" s="2">
        <v>6</v>
      </c>
      <c r="F182" s="2">
        <v>6</v>
      </c>
      <c r="G182" s="2">
        <v>9.359</v>
      </c>
      <c r="H182" s="2">
        <v>0</v>
      </c>
      <c r="I182" s="2">
        <v>0</v>
      </c>
      <c r="J182" s="3">
        <v>1</v>
      </c>
      <c r="K182" s="5">
        <f>AVERAGE(G173:G182)</f>
        <v>11.452499999999999</v>
      </c>
      <c r="L182" s="2">
        <f t="shared" si="2"/>
        <v>0</v>
      </c>
    </row>
    <row r="183" spans="1:12" x14ac:dyDescent="0.3">
      <c r="A183">
        <v>70</v>
      </c>
      <c r="B183">
        <v>4</v>
      </c>
      <c r="C183" s="1">
        <v>10</v>
      </c>
      <c r="D183">
        <v>1.1499999999999999</v>
      </c>
      <c r="E183">
        <v>5</v>
      </c>
      <c r="F183">
        <v>5</v>
      </c>
      <c r="G183">
        <v>5.8319999999999999</v>
      </c>
      <c r="H183">
        <v>0</v>
      </c>
      <c r="I183">
        <v>0</v>
      </c>
      <c r="J183" s="1">
        <v>1</v>
      </c>
      <c r="L183">
        <f t="shared" si="2"/>
        <v>0</v>
      </c>
    </row>
    <row r="184" spans="1:12" x14ac:dyDescent="0.3">
      <c r="A184">
        <v>70</v>
      </c>
      <c r="B184">
        <v>4</v>
      </c>
      <c r="C184" s="1">
        <v>20</v>
      </c>
      <c r="D184">
        <v>1.1499999999999999</v>
      </c>
      <c r="E184">
        <v>5</v>
      </c>
      <c r="F184">
        <v>5</v>
      </c>
      <c r="G184">
        <v>6.1390000000000002</v>
      </c>
      <c r="H184">
        <v>0</v>
      </c>
      <c r="I184">
        <v>0</v>
      </c>
      <c r="J184" s="1">
        <v>1</v>
      </c>
      <c r="L184">
        <f t="shared" si="2"/>
        <v>0</v>
      </c>
    </row>
    <row r="185" spans="1:12" x14ac:dyDescent="0.3">
      <c r="A185">
        <v>70</v>
      </c>
      <c r="B185">
        <v>4</v>
      </c>
      <c r="C185" s="1">
        <v>30</v>
      </c>
      <c r="D185">
        <v>1.1499999999999999</v>
      </c>
      <c r="E185">
        <v>5</v>
      </c>
      <c r="F185">
        <v>5</v>
      </c>
      <c r="G185">
        <v>6.45</v>
      </c>
      <c r="H185">
        <v>0</v>
      </c>
      <c r="I185">
        <v>0</v>
      </c>
      <c r="J185" s="1">
        <v>1</v>
      </c>
      <c r="L185">
        <f t="shared" si="2"/>
        <v>0</v>
      </c>
    </row>
    <row r="186" spans="1:12" x14ac:dyDescent="0.3">
      <c r="A186">
        <v>70</v>
      </c>
      <c r="B186">
        <v>4</v>
      </c>
      <c r="C186" s="1">
        <v>40</v>
      </c>
      <c r="D186">
        <v>1.1499999999999999</v>
      </c>
      <c r="E186">
        <v>5</v>
      </c>
      <c r="F186">
        <v>5</v>
      </c>
      <c r="G186">
        <v>6.0839999999999996</v>
      </c>
      <c r="H186">
        <v>0</v>
      </c>
      <c r="I186">
        <v>0</v>
      </c>
      <c r="J186" s="1">
        <v>1</v>
      </c>
      <c r="L186">
        <f t="shared" si="2"/>
        <v>0</v>
      </c>
    </row>
    <row r="187" spans="1:12" x14ac:dyDescent="0.3">
      <c r="A187">
        <v>70</v>
      </c>
      <c r="B187">
        <v>4</v>
      </c>
      <c r="C187" s="1">
        <v>50</v>
      </c>
      <c r="D187">
        <v>1.1499999999999999</v>
      </c>
      <c r="E187">
        <v>5</v>
      </c>
      <c r="F187">
        <v>5</v>
      </c>
      <c r="G187">
        <v>5.2610000000000001</v>
      </c>
      <c r="H187">
        <v>0</v>
      </c>
      <c r="I187">
        <v>0</v>
      </c>
      <c r="J187" s="1">
        <v>1</v>
      </c>
      <c r="L187">
        <f t="shared" si="2"/>
        <v>0</v>
      </c>
    </row>
    <row r="188" spans="1:12" x14ac:dyDescent="0.3">
      <c r="A188">
        <v>70</v>
      </c>
      <c r="B188">
        <v>4</v>
      </c>
      <c r="C188" s="1">
        <v>60</v>
      </c>
      <c r="D188">
        <v>1.1499999999999999</v>
      </c>
      <c r="E188">
        <v>5</v>
      </c>
      <c r="F188">
        <v>5</v>
      </c>
      <c r="G188">
        <v>6.0140000000000002</v>
      </c>
      <c r="H188">
        <v>0</v>
      </c>
      <c r="I188">
        <v>0</v>
      </c>
      <c r="J188" s="1">
        <v>1</v>
      </c>
      <c r="L188">
        <f t="shared" si="2"/>
        <v>0</v>
      </c>
    </row>
    <row r="189" spans="1:12" x14ac:dyDescent="0.3">
      <c r="A189">
        <v>70</v>
      </c>
      <c r="B189">
        <v>4</v>
      </c>
      <c r="C189" s="1">
        <v>70</v>
      </c>
      <c r="D189">
        <v>1.1499999999999999</v>
      </c>
      <c r="E189">
        <v>5</v>
      </c>
      <c r="F189">
        <v>5</v>
      </c>
      <c r="G189">
        <v>6.9770000000000003</v>
      </c>
      <c r="H189">
        <v>0</v>
      </c>
      <c r="I189">
        <v>0</v>
      </c>
      <c r="J189" s="1">
        <v>1</v>
      </c>
      <c r="L189">
        <f t="shared" si="2"/>
        <v>0</v>
      </c>
    </row>
    <row r="190" spans="1:12" x14ac:dyDescent="0.3">
      <c r="A190">
        <v>70</v>
      </c>
      <c r="B190">
        <v>4</v>
      </c>
      <c r="C190" s="1">
        <v>80</v>
      </c>
      <c r="D190">
        <v>1.1499999999999999</v>
      </c>
      <c r="E190">
        <v>5</v>
      </c>
      <c r="F190">
        <v>5</v>
      </c>
      <c r="G190">
        <v>6.1159999999999997</v>
      </c>
      <c r="H190">
        <v>0</v>
      </c>
      <c r="I190">
        <v>0</v>
      </c>
      <c r="J190" s="1">
        <v>1</v>
      </c>
      <c r="L190">
        <f t="shared" si="2"/>
        <v>0</v>
      </c>
    </row>
    <row r="191" spans="1:12" x14ac:dyDescent="0.3">
      <c r="A191">
        <v>70</v>
      </c>
      <c r="B191">
        <v>4</v>
      </c>
      <c r="C191" s="1">
        <v>90</v>
      </c>
      <c r="D191">
        <v>1.1499999999999999</v>
      </c>
      <c r="E191">
        <v>5</v>
      </c>
      <c r="F191">
        <v>5</v>
      </c>
      <c r="G191">
        <v>5.7779999999999996</v>
      </c>
      <c r="H191">
        <v>0</v>
      </c>
      <c r="I191">
        <v>0</v>
      </c>
      <c r="J191" s="1">
        <v>1</v>
      </c>
      <c r="L191">
        <f t="shared" si="2"/>
        <v>0</v>
      </c>
    </row>
    <row r="192" spans="1:12" s="2" customFormat="1" x14ac:dyDescent="0.3">
      <c r="A192" s="2">
        <v>70</v>
      </c>
      <c r="B192" s="2">
        <v>4</v>
      </c>
      <c r="C192" s="3">
        <v>100</v>
      </c>
      <c r="D192" s="2">
        <v>1.1499999999999999</v>
      </c>
      <c r="E192" s="2">
        <v>5</v>
      </c>
      <c r="F192" s="2">
        <v>5</v>
      </c>
      <c r="G192" s="2">
        <v>6.0970000000000004</v>
      </c>
      <c r="H192" s="2">
        <v>0</v>
      </c>
      <c r="I192" s="2">
        <v>0</v>
      </c>
      <c r="J192" s="3">
        <v>1</v>
      </c>
      <c r="K192" s="5">
        <f>AVERAGE(G183:G192)</f>
        <v>6.0748000000000006</v>
      </c>
      <c r="L192" s="2">
        <f t="shared" si="2"/>
        <v>0</v>
      </c>
    </row>
    <row r="193" spans="1:12" x14ac:dyDescent="0.3">
      <c r="A193">
        <v>70</v>
      </c>
      <c r="B193">
        <v>5</v>
      </c>
      <c r="C193" s="1">
        <v>10</v>
      </c>
      <c r="D193">
        <v>1.1499999999999999</v>
      </c>
      <c r="E193">
        <v>4</v>
      </c>
      <c r="F193">
        <v>4</v>
      </c>
      <c r="G193">
        <v>3.7360000000000002</v>
      </c>
      <c r="H193">
        <v>0</v>
      </c>
      <c r="I193">
        <v>0</v>
      </c>
      <c r="J193" s="1">
        <v>1</v>
      </c>
      <c r="L193">
        <f t="shared" si="2"/>
        <v>0</v>
      </c>
    </row>
    <row r="194" spans="1:12" x14ac:dyDescent="0.3">
      <c r="A194">
        <v>70</v>
      </c>
      <c r="B194">
        <v>5</v>
      </c>
      <c r="C194" s="1">
        <v>20</v>
      </c>
      <c r="D194">
        <v>1.1499999999999999</v>
      </c>
      <c r="E194">
        <v>4</v>
      </c>
      <c r="F194">
        <v>4</v>
      </c>
      <c r="G194">
        <v>4.1180000000000003</v>
      </c>
      <c r="H194">
        <v>0</v>
      </c>
      <c r="I194">
        <v>0</v>
      </c>
      <c r="J194" s="1">
        <v>1</v>
      </c>
      <c r="L194">
        <f t="shared" si="2"/>
        <v>0</v>
      </c>
    </row>
    <row r="195" spans="1:12" x14ac:dyDescent="0.3">
      <c r="A195">
        <v>70</v>
      </c>
      <c r="B195">
        <v>5</v>
      </c>
      <c r="C195" s="1">
        <v>30</v>
      </c>
      <c r="D195">
        <v>1.1499999999999999</v>
      </c>
      <c r="E195">
        <v>4</v>
      </c>
      <c r="F195">
        <v>4</v>
      </c>
      <c r="G195">
        <v>5.234</v>
      </c>
      <c r="H195">
        <v>0</v>
      </c>
      <c r="I195">
        <v>0</v>
      </c>
      <c r="J195" s="1">
        <v>1</v>
      </c>
      <c r="L195">
        <f t="shared" ref="L195:L242" si="3">IF(ISBLANK(E195),IF(ISBLANK(F195),"",100), IF(E195+F195=0, 0, IF(G195=3600, IF(E195=F195,1,(E195-F195)/E195*100), 0)))</f>
        <v>0</v>
      </c>
    </row>
    <row r="196" spans="1:12" x14ac:dyDescent="0.3">
      <c r="A196">
        <v>70</v>
      </c>
      <c r="B196">
        <v>5</v>
      </c>
      <c r="C196" s="1">
        <v>40</v>
      </c>
      <c r="D196">
        <v>1.1499999999999999</v>
      </c>
      <c r="E196">
        <v>4</v>
      </c>
      <c r="F196">
        <v>4</v>
      </c>
      <c r="G196">
        <v>4.1379999999999999</v>
      </c>
      <c r="H196">
        <v>0</v>
      </c>
      <c r="I196">
        <v>0</v>
      </c>
      <c r="J196" s="1">
        <v>1</v>
      </c>
      <c r="L196">
        <f t="shared" si="3"/>
        <v>0</v>
      </c>
    </row>
    <row r="197" spans="1:12" x14ac:dyDescent="0.3">
      <c r="A197">
        <v>70</v>
      </c>
      <c r="B197">
        <v>5</v>
      </c>
      <c r="C197" s="1">
        <v>50</v>
      </c>
      <c r="D197">
        <v>1.1499999999999999</v>
      </c>
      <c r="E197">
        <v>4</v>
      </c>
      <c r="F197">
        <v>4</v>
      </c>
      <c r="G197">
        <v>2.6059999999999999</v>
      </c>
      <c r="H197">
        <v>0</v>
      </c>
      <c r="I197">
        <v>0</v>
      </c>
      <c r="J197" s="1">
        <v>1</v>
      </c>
      <c r="L197">
        <f t="shared" si="3"/>
        <v>0</v>
      </c>
    </row>
    <row r="198" spans="1:12" x14ac:dyDescent="0.3">
      <c r="A198">
        <v>70</v>
      </c>
      <c r="B198">
        <v>5</v>
      </c>
      <c r="C198" s="1">
        <v>60</v>
      </c>
      <c r="D198">
        <v>1.1499999999999999</v>
      </c>
      <c r="E198">
        <v>4</v>
      </c>
      <c r="F198">
        <v>4</v>
      </c>
      <c r="G198">
        <v>4.8550000000000004</v>
      </c>
      <c r="H198">
        <v>0</v>
      </c>
      <c r="I198">
        <v>0</v>
      </c>
      <c r="J198" s="1">
        <v>1</v>
      </c>
      <c r="L198">
        <f t="shared" si="3"/>
        <v>0</v>
      </c>
    </row>
    <row r="199" spans="1:12" x14ac:dyDescent="0.3">
      <c r="A199">
        <v>70</v>
      </c>
      <c r="B199">
        <v>5</v>
      </c>
      <c r="C199" s="1">
        <v>70</v>
      </c>
      <c r="D199">
        <v>1.1499999999999999</v>
      </c>
      <c r="E199">
        <v>4</v>
      </c>
      <c r="F199">
        <v>4</v>
      </c>
      <c r="G199">
        <v>5.3470000000000004</v>
      </c>
      <c r="H199">
        <v>0</v>
      </c>
      <c r="I199">
        <v>0</v>
      </c>
      <c r="J199" s="1">
        <v>1</v>
      </c>
      <c r="L199">
        <f t="shared" si="3"/>
        <v>0</v>
      </c>
    </row>
    <row r="200" spans="1:12" x14ac:dyDescent="0.3">
      <c r="A200">
        <v>70</v>
      </c>
      <c r="B200">
        <v>5</v>
      </c>
      <c r="C200" s="1">
        <v>80</v>
      </c>
      <c r="D200">
        <v>1.1499999999999999</v>
      </c>
      <c r="E200">
        <v>4</v>
      </c>
      <c r="F200">
        <v>4</v>
      </c>
      <c r="G200">
        <v>4.665</v>
      </c>
      <c r="H200">
        <v>0</v>
      </c>
      <c r="I200">
        <v>0</v>
      </c>
      <c r="J200" s="1">
        <v>1</v>
      </c>
      <c r="L200">
        <f t="shared" si="3"/>
        <v>0</v>
      </c>
    </row>
    <row r="201" spans="1:12" x14ac:dyDescent="0.3">
      <c r="A201">
        <v>70</v>
      </c>
      <c r="B201">
        <v>5</v>
      </c>
      <c r="C201" s="1">
        <v>90</v>
      </c>
      <c r="D201">
        <v>1.1499999999999999</v>
      </c>
      <c r="E201">
        <v>4</v>
      </c>
      <c r="F201">
        <v>4</v>
      </c>
      <c r="G201">
        <v>3.4689999999999999</v>
      </c>
      <c r="H201">
        <v>0</v>
      </c>
      <c r="I201">
        <v>0</v>
      </c>
      <c r="J201" s="1">
        <v>1</v>
      </c>
      <c r="L201">
        <f t="shared" si="3"/>
        <v>0</v>
      </c>
    </row>
    <row r="202" spans="1:12" s="2" customFormat="1" x14ac:dyDescent="0.3">
      <c r="A202" s="2">
        <v>70</v>
      </c>
      <c r="B202" s="2">
        <v>5</v>
      </c>
      <c r="C202" s="3">
        <v>100</v>
      </c>
      <c r="D202" s="2">
        <v>1.1499999999999999</v>
      </c>
      <c r="E202" s="2">
        <v>4</v>
      </c>
      <c r="F202" s="2">
        <v>4</v>
      </c>
      <c r="G202" s="2">
        <v>4.4589999999999996</v>
      </c>
      <c r="H202" s="2">
        <v>0</v>
      </c>
      <c r="I202" s="2">
        <v>0</v>
      </c>
      <c r="J202" s="3">
        <v>1</v>
      </c>
      <c r="K202" s="5">
        <f>AVERAGE(G193:G202)</f>
        <v>4.2627000000000006</v>
      </c>
      <c r="L202" s="2">
        <f t="shared" si="3"/>
        <v>0</v>
      </c>
    </row>
    <row r="203" spans="1:12" x14ac:dyDescent="0.3">
      <c r="A203">
        <v>80</v>
      </c>
      <c r="B203">
        <v>2</v>
      </c>
      <c r="C203" s="1">
        <v>10</v>
      </c>
      <c r="D203">
        <v>1.1499999999999999</v>
      </c>
      <c r="E203">
        <v>9</v>
      </c>
      <c r="F203">
        <v>9</v>
      </c>
      <c r="G203">
        <v>43.582999999999998</v>
      </c>
      <c r="H203">
        <v>0</v>
      </c>
      <c r="I203">
        <v>0</v>
      </c>
      <c r="J203" s="1">
        <v>1</v>
      </c>
      <c r="L203">
        <f t="shared" si="3"/>
        <v>0</v>
      </c>
    </row>
    <row r="204" spans="1:12" x14ac:dyDescent="0.3">
      <c r="A204">
        <v>80</v>
      </c>
      <c r="B204">
        <v>2</v>
      </c>
      <c r="C204" s="1">
        <v>20</v>
      </c>
      <c r="D204">
        <v>1.1499999999999999</v>
      </c>
      <c r="E204">
        <v>9</v>
      </c>
      <c r="F204">
        <v>9</v>
      </c>
      <c r="G204">
        <v>241.2</v>
      </c>
      <c r="H204">
        <v>0</v>
      </c>
      <c r="I204">
        <v>0</v>
      </c>
      <c r="J204" s="1">
        <v>2</v>
      </c>
      <c r="L204">
        <f t="shared" si="3"/>
        <v>0</v>
      </c>
    </row>
    <row r="205" spans="1:12" x14ac:dyDescent="0.3">
      <c r="A205">
        <v>80</v>
      </c>
      <c r="B205">
        <v>2</v>
      </c>
      <c r="C205" s="1">
        <v>30</v>
      </c>
      <c r="D205">
        <v>1.1499999999999999</v>
      </c>
      <c r="E205">
        <v>9</v>
      </c>
      <c r="F205">
        <v>9</v>
      </c>
      <c r="G205">
        <v>240.78700000000001</v>
      </c>
      <c r="H205">
        <v>0</v>
      </c>
      <c r="I205">
        <v>0</v>
      </c>
      <c r="J205" s="1">
        <v>2</v>
      </c>
      <c r="L205">
        <f t="shared" si="3"/>
        <v>0</v>
      </c>
    </row>
    <row r="206" spans="1:12" x14ac:dyDescent="0.3">
      <c r="A206">
        <v>80</v>
      </c>
      <c r="B206">
        <v>2</v>
      </c>
      <c r="C206" s="1">
        <v>40</v>
      </c>
      <c r="D206">
        <v>1.1499999999999999</v>
      </c>
      <c r="E206">
        <v>9</v>
      </c>
      <c r="F206">
        <v>9</v>
      </c>
      <c r="G206">
        <v>249.346</v>
      </c>
      <c r="H206">
        <v>0</v>
      </c>
      <c r="I206">
        <v>0</v>
      </c>
      <c r="J206" s="1">
        <v>2</v>
      </c>
      <c r="L206">
        <f t="shared" si="3"/>
        <v>0</v>
      </c>
    </row>
    <row r="207" spans="1:12" x14ac:dyDescent="0.3">
      <c r="A207">
        <v>80</v>
      </c>
      <c r="B207">
        <v>2</v>
      </c>
      <c r="C207" s="1">
        <v>50</v>
      </c>
      <c r="D207">
        <v>1.1499999999999999</v>
      </c>
      <c r="E207">
        <v>9</v>
      </c>
      <c r="F207">
        <v>9</v>
      </c>
      <c r="G207">
        <v>42.210999999999999</v>
      </c>
      <c r="H207">
        <v>0</v>
      </c>
      <c r="I207">
        <v>0</v>
      </c>
      <c r="J207" s="1">
        <v>1</v>
      </c>
      <c r="L207">
        <f t="shared" si="3"/>
        <v>0</v>
      </c>
    </row>
    <row r="208" spans="1:12" x14ac:dyDescent="0.3">
      <c r="A208">
        <v>80</v>
      </c>
      <c r="B208">
        <v>2</v>
      </c>
      <c r="C208" s="1">
        <v>60</v>
      </c>
      <c r="D208">
        <v>1.1499999999999999</v>
      </c>
      <c r="E208">
        <v>9</v>
      </c>
      <c r="F208">
        <v>9</v>
      </c>
      <c r="G208">
        <v>241.79</v>
      </c>
      <c r="H208">
        <v>0</v>
      </c>
      <c r="I208">
        <v>0</v>
      </c>
      <c r="J208" s="1">
        <v>2</v>
      </c>
      <c r="L208">
        <f t="shared" si="3"/>
        <v>0</v>
      </c>
    </row>
    <row r="209" spans="1:12" x14ac:dyDescent="0.3">
      <c r="A209">
        <v>80</v>
      </c>
      <c r="B209">
        <v>2</v>
      </c>
      <c r="C209" s="1">
        <v>70</v>
      </c>
      <c r="D209">
        <v>1.1499999999999999</v>
      </c>
      <c r="E209">
        <v>9</v>
      </c>
      <c r="F209">
        <v>9</v>
      </c>
      <c r="G209">
        <v>46.539000000000001</v>
      </c>
      <c r="H209">
        <v>0</v>
      </c>
      <c r="I209">
        <v>0</v>
      </c>
      <c r="J209" s="1">
        <v>1</v>
      </c>
      <c r="L209">
        <f t="shared" si="3"/>
        <v>0</v>
      </c>
    </row>
    <row r="210" spans="1:12" x14ac:dyDescent="0.3">
      <c r="A210">
        <v>80</v>
      </c>
      <c r="B210">
        <v>2</v>
      </c>
      <c r="C210" s="1">
        <v>80</v>
      </c>
      <c r="D210">
        <v>1.1499999999999999</v>
      </c>
      <c r="E210">
        <v>9</v>
      </c>
      <c r="F210">
        <v>9</v>
      </c>
      <c r="G210">
        <v>261.08699999999999</v>
      </c>
      <c r="H210">
        <v>0</v>
      </c>
      <c r="I210">
        <v>0</v>
      </c>
      <c r="J210" s="1">
        <v>2</v>
      </c>
      <c r="L210">
        <f t="shared" si="3"/>
        <v>0</v>
      </c>
    </row>
    <row r="211" spans="1:12" x14ac:dyDescent="0.3">
      <c r="A211">
        <v>80</v>
      </c>
      <c r="B211">
        <v>2</v>
      </c>
      <c r="C211" s="1">
        <v>90</v>
      </c>
      <c r="D211">
        <v>1.1499999999999999</v>
      </c>
      <c r="E211">
        <v>9</v>
      </c>
      <c r="F211">
        <v>9</v>
      </c>
      <c r="G211">
        <v>44.518999999999998</v>
      </c>
      <c r="H211">
        <v>0</v>
      </c>
      <c r="I211">
        <v>0</v>
      </c>
      <c r="J211" s="1">
        <v>1</v>
      </c>
      <c r="L211">
        <f t="shared" si="3"/>
        <v>0</v>
      </c>
    </row>
    <row r="212" spans="1:12" s="2" customFormat="1" x14ac:dyDescent="0.3">
      <c r="A212" s="2">
        <v>80</v>
      </c>
      <c r="B212" s="2">
        <v>2</v>
      </c>
      <c r="C212" s="3">
        <v>100</v>
      </c>
      <c r="D212" s="2">
        <v>1.1499999999999999</v>
      </c>
      <c r="E212" s="2">
        <v>9</v>
      </c>
      <c r="F212" s="2">
        <v>9</v>
      </c>
      <c r="G212" s="2">
        <v>44.326000000000001</v>
      </c>
      <c r="H212" s="2">
        <v>0</v>
      </c>
      <c r="I212" s="2">
        <v>0</v>
      </c>
      <c r="J212" s="3">
        <v>1</v>
      </c>
      <c r="K212" s="5">
        <f t="shared" ref="K212:K242" si="4">AVERAGE(G203:G212)</f>
        <v>145.53880000000001</v>
      </c>
      <c r="L212" s="2">
        <f t="shared" si="3"/>
        <v>0</v>
      </c>
    </row>
    <row r="213" spans="1:12" x14ac:dyDescent="0.3">
      <c r="A213">
        <v>80</v>
      </c>
      <c r="B213">
        <v>3</v>
      </c>
      <c r="C213" s="1">
        <v>10</v>
      </c>
      <c r="D213">
        <v>1.1499999999999999</v>
      </c>
      <c r="E213">
        <v>8</v>
      </c>
      <c r="F213">
        <v>8</v>
      </c>
      <c r="G213">
        <v>41.962000000000003</v>
      </c>
      <c r="H213">
        <v>0</v>
      </c>
      <c r="I213">
        <v>0</v>
      </c>
      <c r="J213" s="1">
        <v>1</v>
      </c>
      <c r="L213">
        <f t="shared" si="3"/>
        <v>0</v>
      </c>
    </row>
    <row r="214" spans="1:12" x14ac:dyDescent="0.3">
      <c r="A214">
        <v>80</v>
      </c>
      <c r="B214">
        <v>3</v>
      </c>
      <c r="C214" s="1">
        <v>20</v>
      </c>
      <c r="D214">
        <v>1.1499999999999999</v>
      </c>
      <c r="E214">
        <v>8</v>
      </c>
      <c r="F214">
        <v>8</v>
      </c>
      <c r="G214">
        <v>36.915999999999997</v>
      </c>
      <c r="H214">
        <v>0</v>
      </c>
      <c r="I214">
        <v>0</v>
      </c>
      <c r="J214" s="1">
        <v>1</v>
      </c>
      <c r="L214">
        <f t="shared" si="3"/>
        <v>0</v>
      </c>
    </row>
    <row r="215" spans="1:12" x14ac:dyDescent="0.3">
      <c r="A215">
        <v>80</v>
      </c>
      <c r="B215">
        <v>3</v>
      </c>
      <c r="C215" s="1">
        <v>30</v>
      </c>
      <c r="D215">
        <v>1.1499999999999999</v>
      </c>
      <c r="E215">
        <v>8</v>
      </c>
      <c r="F215">
        <v>8</v>
      </c>
      <c r="G215">
        <v>229.947</v>
      </c>
      <c r="H215">
        <v>0</v>
      </c>
      <c r="I215">
        <v>0</v>
      </c>
      <c r="J215" s="1">
        <v>2</v>
      </c>
      <c r="L215">
        <f t="shared" si="3"/>
        <v>0</v>
      </c>
    </row>
    <row r="216" spans="1:12" x14ac:dyDescent="0.3">
      <c r="A216">
        <v>80</v>
      </c>
      <c r="B216">
        <v>3</v>
      </c>
      <c r="C216" s="1">
        <v>40</v>
      </c>
      <c r="D216">
        <v>1.1499999999999999</v>
      </c>
      <c r="E216">
        <v>8</v>
      </c>
      <c r="F216">
        <v>8</v>
      </c>
      <c r="G216">
        <v>227.042</v>
      </c>
      <c r="H216">
        <v>0</v>
      </c>
      <c r="I216">
        <v>0</v>
      </c>
      <c r="J216" s="1">
        <v>2</v>
      </c>
      <c r="L216">
        <f t="shared" si="3"/>
        <v>0</v>
      </c>
    </row>
    <row r="217" spans="1:12" x14ac:dyDescent="0.3">
      <c r="A217">
        <v>80</v>
      </c>
      <c r="B217">
        <v>3</v>
      </c>
      <c r="C217" s="1">
        <v>50</v>
      </c>
      <c r="D217">
        <v>1.1499999999999999</v>
      </c>
      <c r="E217">
        <v>8</v>
      </c>
      <c r="F217">
        <v>8</v>
      </c>
      <c r="G217">
        <v>244.65700000000001</v>
      </c>
      <c r="H217">
        <v>0</v>
      </c>
      <c r="I217">
        <v>0</v>
      </c>
      <c r="J217" s="1">
        <v>2</v>
      </c>
      <c r="L217">
        <f t="shared" si="3"/>
        <v>0</v>
      </c>
    </row>
    <row r="218" spans="1:12" x14ac:dyDescent="0.3">
      <c r="A218">
        <v>80</v>
      </c>
      <c r="B218">
        <v>3</v>
      </c>
      <c r="C218" s="1">
        <v>60</v>
      </c>
      <c r="D218">
        <v>1.1499999999999999</v>
      </c>
      <c r="E218">
        <v>8</v>
      </c>
      <c r="F218">
        <v>8</v>
      </c>
      <c r="G218">
        <v>34.683999999999997</v>
      </c>
      <c r="H218">
        <v>0</v>
      </c>
      <c r="I218">
        <v>0</v>
      </c>
      <c r="J218" s="1">
        <v>1</v>
      </c>
      <c r="L218">
        <f t="shared" si="3"/>
        <v>0</v>
      </c>
    </row>
    <row r="219" spans="1:12" x14ac:dyDescent="0.3">
      <c r="A219">
        <v>80</v>
      </c>
      <c r="B219">
        <v>3</v>
      </c>
      <c r="C219" s="1">
        <v>70</v>
      </c>
      <c r="D219">
        <v>1.1499999999999999</v>
      </c>
      <c r="E219">
        <v>8</v>
      </c>
      <c r="F219">
        <v>8</v>
      </c>
      <c r="G219">
        <v>38.570999999999998</v>
      </c>
      <c r="H219">
        <v>0</v>
      </c>
      <c r="I219">
        <v>0</v>
      </c>
      <c r="J219" s="1">
        <v>1</v>
      </c>
      <c r="L219">
        <f t="shared" si="3"/>
        <v>0</v>
      </c>
    </row>
    <row r="220" spans="1:12" x14ac:dyDescent="0.3">
      <c r="A220">
        <v>80</v>
      </c>
      <c r="B220">
        <v>3</v>
      </c>
      <c r="C220" s="1">
        <v>80</v>
      </c>
      <c r="D220">
        <v>1.1499999999999999</v>
      </c>
      <c r="E220">
        <v>8</v>
      </c>
      <c r="F220">
        <v>8</v>
      </c>
      <c r="G220">
        <v>41.161000000000001</v>
      </c>
      <c r="H220">
        <v>0</v>
      </c>
      <c r="I220">
        <v>0</v>
      </c>
      <c r="J220" s="1">
        <v>1</v>
      </c>
      <c r="L220">
        <f t="shared" si="3"/>
        <v>0</v>
      </c>
    </row>
    <row r="221" spans="1:12" x14ac:dyDescent="0.3">
      <c r="A221">
        <v>80</v>
      </c>
      <c r="B221">
        <v>3</v>
      </c>
      <c r="C221" s="1">
        <v>90</v>
      </c>
      <c r="D221">
        <v>1.1499999999999999</v>
      </c>
      <c r="E221">
        <v>8</v>
      </c>
      <c r="F221">
        <v>8</v>
      </c>
      <c r="G221">
        <v>224.58699999999999</v>
      </c>
      <c r="H221">
        <v>0</v>
      </c>
      <c r="I221">
        <v>0</v>
      </c>
      <c r="J221" s="1">
        <v>2</v>
      </c>
      <c r="L221">
        <f t="shared" si="3"/>
        <v>0</v>
      </c>
    </row>
    <row r="222" spans="1:12" s="2" customFormat="1" x14ac:dyDescent="0.3">
      <c r="A222" s="2">
        <v>80</v>
      </c>
      <c r="B222" s="2">
        <v>3</v>
      </c>
      <c r="C222" s="3">
        <v>100</v>
      </c>
      <c r="D222" s="2">
        <v>1.1499999999999999</v>
      </c>
      <c r="E222" s="2">
        <v>8</v>
      </c>
      <c r="F222" s="2">
        <v>8</v>
      </c>
      <c r="G222" s="2">
        <v>225.31</v>
      </c>
      <c r="H222" s="2">
        <v>0</v>
      </c>
      <c r="I222" s="2">
        <v>0</v>
      </c>
      <c r="J222" s="3">
        <v>2</v>
      </c>
      <c r="K222" s="5">
        <f>AVERAGE(G213:G222)</f>
        <v>134.4837</v>
      </c>
      <c r="L222" s="2">
        <f t="shared" si="3"/>
        <v>0</v>
      </c>
    </row>
    <row r="223" spans="1:12" x14ac:dyDescent="0.3">
      <c r="A223">
        <v>80</v>
      </c>
      <c r="B223">
        <v>4</v>
      </c>
      <c r="C223" s="1">
        <v>10</v>
      </c>
      <c r="D223">
        <v>1.1499999999999999</v>
      </c>
      <c r="E223">
        <v>7</v>
      </c>
      <c r="F223">
        <v>7</v>
      </c>
      <c r="G223">
        <v>39.031999999999996</v>
      </c>
      <c r="H223">
        <v>0</v>
      </c>
      <c r="I223">
        <v>0</v>
      </c>
      <c r="J223" s="1">
        <v>1</v>
      </c>
      <c r="L223">
        <f t="shared" si="3"/>
        <v>0</v>
      </c>
    </row>
    <row r="224" spans="1:12" x14ac:dyDescent="0.3">
      <c r="A224">
        <v>80</v>
      </c>
      <c r="B224">
        <v>4</v>
      </c>
      <c r="C224" s="1">
        <v>20</v>
      </c>
      <c r="D224">
        <v>1.1499999999999999</v>
      </c>
      <c r="E224">
        <v>7</v>
      </c>
      <c r="F224">
        <v>7</v>
      </c>
      <c r="G224">
        <v>36.433</v>
      </c>
      <c r="H224">
        <v>0</v>
      </c>
      <c r="I224">
        <v>0</v>
      </c>
      <c r="J224" s="1">
        <v>1</v>
      </c>
      <c r="L224">
        <f t="shared" si="3"/>
        <v>0</v>
      </c>
    </row>
    <row r="225" spans="1:12" x14ac:dyDescent="0.3">
      <c r="A225">
        <v>80</v>
      </c>
      <c r="B225">
        <v>4</v>
      </c>
      <c r="C225" s="1">
        <v>30</v>
      </c>
      <c r="D225">
        <v>1.1499999999999999</v>
      </c>
      <c r="E225">
        <v>7</v>
      </c>
      <c r="F225">
        <v>7</v>
      </c>
      <c r="G225">
        <v>40.905999999999999</v>
      </c>
      <c r="H225">
        <v>0</v>
      </c>
      <c r="I225">
        <v>0</v>
      </c>
      <c r="J225" s="1">
        <v>1</v>
      </c>
      <c r="L225">
        <f t="shared" si="3"/>
        <v>0</v>
      </c>
    </row>
    <row r="226" spans="1:12" x14ac:dyDescent="0.3">
      <c r="A226">
        <v>80</v>
      </c>
      <c r="B226">
        <v>4</v>
      </c>
      <c r="C226" s="1">
        <v>40</v>
      </c>
      <c r="D226">
        <v>1.1499999999999999</v>
      </c>
      <c r="E226">
        <v>7</v>
      </c>
      <c r="F226">
        <v>7</v>
      </c>
      <c r="G226">
        <v>35.095999999999997</v>
      </c>
      <c r="H226">
        <v>0</v>
      </c>
      <c r="I226">
        <v>0</v>
      </c>
      <c r="J226" s="1">
        <v>1</v>
      </c>
      <c r="L226">
        <f t="shared" si="3"/>
        <v>0</v>
      </c>
    </row>
    <row r="227" spans="1:12" x14ac:dyDescent="0.3">
      <c r="A227">
        <v>80</v>
      </c>
      <c r="B227">
        <v>4</v>
      </c>
      <c r="C227" s="1">
        <v>50</v>
      </c>
      <c r="D227">
        <v>1.1499999999999999</v>
      </c>
      <c r="E227">
        <v>7</v>
      </c>
      <c r="F227">
        <v>7</v>
      </c>
      <c r="G227">
        <v>49.137999999999998</v>
      </c>
      <c r="H227">
        <v>0</v>
      </c>
      <c r="I227">
        <v>0</v>
      </c>
      <c r="J227" s="1">
        <v>1</v>
      </c>
      <c r="L227">
        <f t="shared" si="3"/>
        <v>0</v>
      </c>
    </row>
    <row r="228" spans="1:12" x14ac:dyDescent="0.3">
      <c r="A228">
        <v>80</v>
      </c>
      <c r="B228">
        <v>4</v>
      </c>
      <c r="C228" s="1">
        <v>60</v>
      </c>
      <c r="D228">
        <v>1.1499999999999999</v>
      </c>
      <c r="E228">
        <v>7</v>
      </c>
      <c r="F228">
        <v>7</v>
      </c>
      <c r="G228">
        <v>209.75899999999999</v>
      </c>
      <c r="H228">
        <v>0</v>
      </c>
      <c r="I228">
        <v>0</v>
      </c>
      <c r="J228" s="1">
        <v>2</v>
      </c>
      <c r="L228">
        <f t="shared" si="3"/>
        <v>0</v>
      </c>
    </row>
    <row r="229" spans="1:12" x14ac:dyDescent="0.3">
      <c r="A229">
        <v>80</v>
      </c>
      <c r="B229">
        <v>4</v>
      </c>
      <c r="C229" s="1">
        <v>70</v>
      </c>
      <c r="D229">
        <v>1.1499999999999999</v>
      </c>
      <c r="E229">
        <v>7</v>
      </c>
      <c r="F229">
        <v>7</v>
      </c>
      <c r="G229">
        <v>38.247</v>
      </c>
      <c r="H229">
        <v>0</v>
      </c>
      <c r="I229">
        <v>0</v>
      </c>
      <c r="J229" s="1">
        <v>1</v>
      </c>
      <c r="L229">
        <f t="shared" si="3"/>
        <v>0</v>
      </c>
    </row>
    <row r="230" spans="1:12" x14ac:dyDescent="0.3">
      <c r="A230">
        <v>80</v>
      </c>
      <c r="B230">
        <v>4</v>
      </c>
      <c r="C230" s="1">
        <v>80</v>
      </c>
      <c r="D230">
        <v>1.1499999999999999</v>
      </c>
      <c r="E230">
        <v>7</v>
      </c>
      <c r="F230">
        <v>7</v>
      </c>
      <c r="G230">
        <v>213.60599999999999</v>
      </c>
      <c r="H230">
        <v>0</v>
      </c>
      <c r="I230">
        <v>0</v>
      </c>
      <c r="J230" s="1">
        <v>2</v>
      </c>
      <c r="L230">
        <f t="shared" si="3"/>
        <v>0</v>
      </c>
    </row>
    <row r="231" spans="1:12" x14ac:dyDescent="0.3">
      <c r="A231">
        <v>80</v>
      </c>
      <c r="B231">
        <v>4</v>
      </c>
      <c r="C231" s="1">
        <v>90</v>
      </c>
      <c r="D231">
        <v>1.1499999999999999</v>
      </c>
      <c r="E231">
        <v>7</v>
      </c>
      <c r="F231">
        <v>7</v>
      </c>
      <c r="G231">
        <v>218.441</v>
      </c>
      <c r="H231">
        <v>0</v>
      </c>
      <c r="I231">
        <v>0</v>
      </c>
      <c r="J231" s="1">
        <v>2</v>
      </c>
      <c r="L231">
        <f t="shared" si="3"/>
        <v>0</v>
      </c>
    </row>
    <row r="232" spans="1:12" s="2" customFormat="1" x14ac:dyDescent="0.3">
      <c r="A232" s="2">
        <v>80</v>
      </c>
      <c r="B232" s="2">
        <v>4</v>
      </c>
      <c r="C232" s="3">
        <v>100</v>
      </c>
      <c r="D232" s="2">
        <v>1.1499999999999999</v>
      </c>
      <c r="E232" s="2">
        <v>7</v>
      </c>
      <c r="F232" s="2">
        <v>7</v>
      </c>
      <c r="G232" s="2">
        <v>30.151</v>
      </c>
      <c r="H232" s="2">
        <v>0</v>
      </c>
      <c r="I232" s="2">
        <v>0</v>
      </c>
      <c r="J232" s="3">
        <v>1</v>
      </c>
      <c r="K232" s="5">
        <f t="shared" si="4"/>
        <v>91.080900000000014</v>
      </c>
      <c r="L232" s="2">
        <f t="shared" si="3"/>
        <v>0</v>
      </c>
    </row>
    <row r="233" spans="1:12" x14ac:dyDescent="0.3">
      <c r="A233">
        <v>80</v>
      </c>
      <c r="B233">
        <v>5</v>
      </c>
      <c r="C233" s="1">
        <v>10</v>
      </c>
      <c r="D233">
        <v>1.1499999999999999</v>
      </c>
      <c r="E233">
        <v>6</v>
      </c>
      <c r="F233">
        <v>6</v>
      </c>
      <c r="G233">
        <v>23.24</v>
      </c>
      <c r="H233">
        <v>0</v>
      </c>
      <c r="I233">
        <v>0</v>
      </c>
      <c r="J233" s="1">
        <v>1</v>
      </c>
      <c r="L233">
        <f t="shared" si="3"/>
        <v>0</v>
      </c>
    </row>
    <row r="234" spans="1:12" x14ac:dyDescent="0.3">
      <c r="A234">
        <v>80</v>
      </c>
      <c r="B234">
        <v>5</v>
      </c>
      <c r="C234" s="1">
        <v>20</v>
      </c>
      <c r="D234">
        <v>1.1499999999999999</v>
      </c>
      <c r="E234">
        <v>6</v>
      </c>
      <c r="F234">
        <v>6</v>
      </c>
      <c r="G234">
        <v>34.914000000000001</v>
      </c>
      <c r="H234">
        <v>0</v>
      </c>
      <c r="I234">
        <v>0</v>
      </c>
      <c r="J234" s="1">
        <v>1</v>
      </c>
      <c r="L234">
        <f t="shared" si="3"/>
        <v>0</v>
      </c>
    </row>
    <row r="235" spans="1:12" x14ac:dyDescent="0.3">
      <c r="A235">
        <v>80</v>
      </c>
      <c r="B235">
        <v>5</v>
      </c>
      <c r="C235" s="1">
        <v>30</v>
      </c>
      <c r="D235">
        <v>1.1499999999999999</v>
      </c>
      <c r="E235">
        <v>6</v>
      </c>
      <c r="F235">
        <v>6</v>
      </c>
      <c r="G235">
        <v>31.414999999999999</v>
      </c>
      <c r="H235">
        <v>0</v>
      </c>
      <c r="I235">
        <v>0</v>
      </c>
      <c r="J235" s="1">
        <v>1</v>
      </c>
      <c r="L235">
        <f t="shared" si="3"/>
        <v>0</v>
      </c>
    </row>
    <row r="236" spans="1:12" x14ac:dyDescent="0.3">
      <c r="A236">
        <v>80</v>
      </c>
      <c r="B236">
        <v>5</v>
      </c>
      <c r="C236" s="1">
        <v>40</v>
      </c>
      <c r="D236">
        <v>1.1499999999999999</v>
      </c>
      <c r="E236">
        <v>6</v>
      </c>
      <c r="F236">
        <v>6</v>
      </c>
      <c r="G236">
        <v>31.925000000000001</v>
      </c>
      <c r="H236">
        <v>0</v>
      </c>
      <c r="I236">
        <v>0</v>
      </c>
      <c r="J236" s="1">
        <v>1</v>
      </c>
      <c r="L236">
        <f t="shared" si="3"/>
        <v>0</v>
      </c>
    </row>
    <row r="237" spans="1:12" x14ac:dyDescent="0.3">
      <c r="A237">
        <v>80</v>
      </c>
      <c r="B237">
        <v>5</v>
      </c>
      <c r="C237" s="1">
        <v>50</v>
      </c>
      <c r="D237">
        <v>1.1499999999999999</v>
      </c>
      <c r="E237">
        <v>6</v>
      </c>
      <c r="F237">
        <v>6</v>
      </c>
      <c r="G237">
        <v>15.505000000000001</v>
      </c>
      <c r="H237">
        <v>0</v>
      </c>
      <c r="I237">
        <v>0</v>
      </c>
      <c r="J237" s="1">
        <v>1</v>
      </c>
      <c r="L237">
        <f t="shared" si="3"/>
        <v>0</v>
      </c>
    </row>
    <row r="238" spans="1:12" x14ac:dyDescent="0.3">
      <c r="A238">
        <v>80</v>
      </c>
      <c r="B238">
        <v>5</v>
      </c>
      <c r="C238" s="1">
        <v>60</v>
      </c>
      <c r="D238">
        <v>1.1499999999999999</v>
      </c>
      <c r="E238">
        <v>6</v>
      </c>
      <c r="F238">
        <v>6</v>
      </c>
      <c r="G238">
        <v>25.363</v>
      </c>
      <c r="H238">
        <v>0</v>
      </c>
      <c r="I238">
        <v>0</v>
      </c>
      <c r="J238" s="1">
        <v>1</v>
      </c>
      <c r="L238">
        <f t="shared" si="3"/>
        <v>0</v>
      </c>
    </row>
    <row r="239" spans="1:12" x14ac:dyDescent="0.3">
      <c r="A239">
        <v>80</v>
      </c>
      <c r="B239">
        <v>5</v>
      </c>
      <c r="C239" s="1">
        <v>70</v>
      </c>
      <c r="D239">
        <v>1.1499999999999999</v>
      </c>
      <c r="E239">
        <v>6</v>
      </c>
      <c r="F239">
        <v>6</v>
      </c>
      <c r="G239">
        <v>34.767000000000003</v>
      </c>
      <c r="H239">
        <v>0</v>
      </c>
      <c r="I239">
        <v>0</v>
      </c>
      <c r="J239" s="1">
        <v>1</v>
      </c>
      <c r="L239">
        <f t="shared" si="3"/>
        <v>0</v>
      </c>
    </row>
    <row r="240" spans="1:12" x14ac:dyDescent="0.3">
      <c r="A240">
        <v>80</v>
      </c>
      <c r="B240">
        <v>5</v>
      </c>
      <c r="C240" s="1">
        <v>80</v>
      </c>
      <c r="D240">
        <v>1.1499999999999999</v>
      </c>
      <c r="E240">
        <v>6</v>
      </c>
      <c r="F240">
        <v>6</v>
      </c>
      <c r="G240">
        <v>24.029</v>
      </c>
      <c r="H240">
        <v>0</v>
      </c>
      <c r="I240">
        <v>0</v>
      </c>
      <c r="J240" s="1">
        <v>1</v>
      </c>
      <c r="L240">
        <f t="shared" si="3"/>
        <v>0</v>
      </c>
    </row>
    <row r="241" spans="1:12" x14ac:dyDescent="0.3">
      <c r="A241">
        <v>80</v>
      </c>
      <c r="B241">
        <v>5</v>
      </c>
      <c r="C241" s="1">
        <v>90</v>
      </c>
      <c r="D241">
        <v>1.1499999999999999</v>
      </c>
      <c r="E241">
        <v>6</v>
      </c>
      <c r="F241">
        <v>6</v>
      </c>
      <c r="G241">
        <v>20.920999999999999</v>
      </c>
      <c r="H241">
        <v>0</v>
      </c>
      <c r="I241">
        <v>0</v>
      </c>
      <c r="J241" s="1">
        <v>1</v>
      </c>
      <c r="L241">
        <f t="shared" si="3"/>
        <v>0</v>
      </c>
    </row>
    <row r="242" spans="1:12" s="2" customFormat="1" x14ac:dyDescent="0.3">
      <c r="A242" s="2">
        <v>80</v>
      </c>
      <c r="B242" s="2">
        <v>5</v>
      </c>
      <c r="C242" s="3">
        <v>100</v>
      </c>
      <c r="D242" s="2">
        <v>1.1499999999999999</v>
      </c>
      <c r="E242" s="2">
        <v>6</v>
      </c>
      <c r="F242" s="2">
        <v>6</v>
      </c>
      <c r="G242" s="2">
        <v>77.323999999999998</v>
      </c>
      <c r="H242" s="2">
        <v>0</v>
      </c>
      <c r="I242" s="2">
        <v>0</v>
      </c>
      <c r="J242" s="3">
        <v>1</v>
      </c>
      <c r="K242" s="5">
        <f t="shared" si="4"/>
        <v>31.940299999999997</v>
      </c>
      <c r="L242" s="2">
        <f t="shared" si="3"/>
        <v>0</v>
      </c>
    </row>
    <row r="243" spans="1:12" x14ac:dyDescent="0.3">
      <c r="D243">
        <f>AVERAGE(D3:D242)</f>
        <v>1.1500000000000021</v>
      </c>
      <c r="E243">
        <f t="shared" ref="E243:G243" si="5">AVERAGE(E3:E242)</f>
        <v>4.041666666666667</v>
      </c>
      <c r="F243">
        <f t="shared" si="5"/>
        <v>4.041666666666667</v>
      </c>
      <c r="G243">
        <f t="shared" si="5"/>
        <v>21.197608333333335</v>
      </c>
      <c r="H243">
        <f t="shared" ref="H243:J243" si="6">SUM(H3:H242)</f>
        <v>2</v>
      </c>
      <c r="I243">
        <f t="shared" si="6"/>
        <v>2</v>
      </c>
      <c r="J243">
        <f t="shared" si="6"/>
        <v>256</v>
      </c>
      <c r="L243">
        <f>COUNTIF(L3:L242,"&gt;0")</f>
        <v>0</v>
      </c>
    </row>
    <row r="323" spans="4:12" x14ac:dyDescent="0.3">
      <c r="D323" s="6">
        <f>AVERAGE(D12:D242)</f>
        <v>1.150000000000003</v>
      </c>
      <c r="E323">
        <f>SUM(E12:E242)</f>
        <v>952</v>
      </c>
      <c r="F323">
        <f>SUM(F12:F242)</f>
        <v>952</v>
      </c>
      <c r="K323" s="4">
        <f>AVERAGE(K12:K242)</f>
        <v>21.197608333333335</v>
      </c>
      <c r="L323">
        <f>COUNTIF(L12:L242,"&gt;0")</f>
        <v>0</v>
      </c>
    </row>
  </sheetData>
  <autoFilter ref="K1:K323" xr:uid="{3BDC2A91-F62C-482F-8F5A-8E214630FF7D}"/>
  <phoneticPr fontId="1" type="noConversion"/>
  <conditionalFormatting sqref="L2:L242">
    <cfRule type="containsText" dxfId="46" priority="3" operator="containsText" text="FALSE">
      <formula>NOT(ISERROR(SEARCH("FALSE",L2)))</formula>
    </cfRule>
  </conditionalFormatting>
  <conditionalFormatting sqref="M1 M243:M322">
    <cfRule type="containsText" dxfId="45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B240-A396-4866-B86F-DE1371E1E870}">
  <dimension ref="A1:M323"/>
  <sheetViews>
    <sheetView topLeftCell="A180" zoomScale="85" zoomScaleNormal="85" workbookViewId="0">
      <selection activeCell="J203" sqref="J203:J212"/>
    </sheetView>
  </sheetViews>
  <sheetFormatPr defaultRowHeight="16.5" x14ac:dyDescent="0.3"/>
  <cols>
    <col min="1" max="1" width="8.875" bestFit="1" customWidth="1"/>
    <col min="2" max="2" width="13.75" bestFit="1" customWidth="1"/>
    <col min="5" max="5" width="14.75" bestFit="1" customWidth="1"/>
    <col min="6" max="6" width="12.625" bestFit="1" customWidth="1"/>
    <col min="7" max="7" width="9.75" bestFit="1" customWidth="1"/>
    <col min="8" max="8" width="15.125" bestFit="1" customWidth="1"/>
    <col min="9" max="9" width="14.125" bestFit="1" customWidth="1"/>
    <col min="10" max="10" width="13.625" bestFit="1" customWidth="1"/>
    <col min="11" max="11" width="9.125" style="4" bestFit="1" customWidth="1"/>
    <col min="13" max="13" width="9" style="7"/>
  </cols>
  <sheetData>
    <row r="1" spans="1:13" s="13" customFormat="1" x14ac:dyDescent="0.3">
      <c r="C1" s="12"/>
      <c r="D1" s="13" t="s">
        <v>18</v>
      </c>
      <c r="J1" s="12"/>
      <c r="K1" s="11"/>
      <c r="M1" s="10"/>
    </row>
    <row r="2" spans="1:13" s="9" customFormat="1" x14ac:dyDescent="0.3">
      <c r="A2" s="9" t="s">
        <v>8</v>
      </c>
      <c r="B2" s="9" t="s">
        <v>9</v>
      </c>
      <c r="C2" s="17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17" t="s">
        <v>17</v>
      </c>
      <c r="K2" s="15" t="s">
        <v>4</v>
      </c>
      <c r="L2" s="9" t="s">
        <v>5</v>
      </c>
    </row>
    <row r="3" spans="1:13" x14ac:dyDescent="0.3">
      <c r="A3">
        <v>30</v>
      </c>
      <c r="B3">
        <v>2</v>
      </c>
      <c r="C3" s="1">
        <v>10</v>
      </c>
      <c r="D3">
        <v>1.1499999999999999</v>
      </c>
      <c r="E3">
        <v>2</v>
      </c>
      <c r="F3">
        <v>2</v>
      </c>
      <c r="G3">
        <v>8.4000000000000005E-2</v>
      </c>
      <c r="H3">
        <v>0</v>
      </c>
      <c r="I3">
        <v>0</v>
      </c>
      <c r="J3" s="1">
        <v>1</v>
      </c>
      <c r="L3">
        <f t="shared" ref="L3:L66" si="0">IF(ISBLANK(E3),IF(ISBLANK(F3),"",100), IF(E3+F3=0, 0, IF(G3=3600, IF(E3=F3,1,(E3-F3)/E3*100), 0)))</f>
        <v>0</v>
      </c>
    </row>
    <row r="4" spans="1:13" x14ac:dyDescent="0.3">
      <c r="A4">
        <v>30</v>
      </c>
      <c r="B4">
        <v>2</v>
      </c>
      <c r="C4" s="1">
        <v>20</v>
      </c>
      <c r="D4">
        <v>1.1499999999999999</v>
      </c>
      <c r="E4">
        <v>2</v>
      </c>
      <c r="F4">
        <v>2</v>
      </c>
      <c r="G4">
        <v>6.9000000000000006E-2</v>
      </c>
      <c r="H4">
        <v>0</v>
      </c>
      <c r="I4">
        <v>0</v>
      </c>
      <c r="J4" s="1">
        <v>1</v>
      </c>
      <c r="L4">
        <f t="shared" si="0"/>
        <v>0</v>
      </c>
    </row>
    <row r="5" spans="1:13" x14ac:dyDescent="0.3">
      <c r="A5">
        <v>30</v>
      </c>
      <c r="B5">
        <v>2</v>
      </c>
      <c r="C5" s="1">
        <v>30</v>
      </c>
      <c r="D5">
        <v>1.1499999999999999</v>
      </c>
      <c r="E5">
        <v>2</v>
      </c>
      <c r="F5">
        <v>2</v>
      </c>
      <c r="G5">
        <v>7.1999999999999995E-2</v>
      </c>
      <c r="H5">
        <v>0</v>
      </c>
      <c r="I5">
        <v>0</v>
      </c>
      <c r="J5" s="1">
        <v>1</v>
      </c>
      <c r="L5">
        <f t="shared" si="0"/>
        <v>0</v>
      </c>
    </row>
    <row r="6" spans="1:13" x14ac:dyDescent="0.3">
      <c r="A6">
        <v>30</v>
      </c>
      <c r="B6">
        <v>2</v>
      </c>
      <c r="C6" s="1">
        <v>40</v>
      </c>
      <c r="D6">
        <v>1.1499999999999999</v>
      </c>
      <c r="E6">
        <v>2</v>
      </c>
      <c r="F6">
        <v>2</v>
      </c>
      <c r="G6">
        <v>7.2999999999999995E-2</v>
      </c>
      <c r="H6">
        <v>0</v>
      </c>
      <c r="I6">
        <v>0</v>
      </c>
      <c r="J6" s="1">
        <v>1</v>
      </c>
      <c r="L6">
        <f t="shared" si="0"/>
        <v>0</v>
      </c>
    </row>
    <row r="7" spans="1:13" x14ac:dyDescent="0.3">
      <c r="A7">
        <v>30</v>
      </c>
      <c r="B7">
        <v>2</v>
      </c>
      <c r="C7" s="1">
        <v>50</v>
      </c>
      <c r="D7">
        <v>1.1499999999999999</v>
      </c>
      <c r="E7">
        <v>2</v>
      </c>
      <c r="F7">
        <v>2</v>
      </c>
      <c r="G7">
        <v>6.3E-2</v>
      </c>
      <c r="H7">
        <v>0</v>
      </c>
      <c r="I7">
        <v>0</v>
      </c>
      <c r="J7" s="1">
        <v>1</v>
      </c>
      <c r="L7">
        <f t="shared" si="0"/>
        <v>0</v>
      </c>
    </row>
    <row r="8" spans="1:13" x14ac:dyDescent="0.3">
      <c r="A8">
        <v>30</v>
      </c>
      <c r="B8">
        <v>2</v>
      </c>
      <c r="C8" s="1">
        <v>60</v>
      </c>
      <c r="D8">
        <v>1.1499999999999999</v>
      </c>
      <c r="E8">
        <v>2</v>
      </c>
      <c r="F8">
        <v>2</v>
      </c>
      <c r="G8">
        <v>5.7000000000000002E-2</v>
      </c>
      <c r="H8">
        <v>0</v>
      </c>
      <c r="I8">
        <v>0</v>
      </c>
      <c r="J8" s="1">
        <v>1</v>
      </c>
      <c r="L8">
        <f t="shared" si="0"/>
        <v>0</v>
      </c>
    </row>
    <row r="9" spans="1:13" x14ac:dyDescent="0.3">
      <c r="A9">
        <v>30</v>
      </c>
      <c r="B9">
        <v>2</v>
      </c>
      <c r="C9" s="1">
        <v>70</v>
      </c>
      <c r="D9">
        <v>1.1499999999999999</v>
      </c>
      <c r="E9">
        <v>2</v>
      </c>
      <c r="F9">
        <v>2</v>
      </c>
      <c r="G9">
        <v>7.1999999999999995E-2</v>
      </c>
      <c r="H9">
        <v>0</v>
      </c>
      <c r="I9">
        <v>0</v>
      </c>
      <c r="J9" s="1">
        <v>1</v>
      </c>
      <c r="L9">
        <f t="shared" si="0"/>
        <v>0</v>
      </c>
    </row>
    <row r="10" spans="1:13" x14ac:dyDescent="0.3">
      <c r="A10">
        <v>30</v>
      </c>
      <c r="B10">
        <v>2</v>
      </c>
      <c r="C10" s="1">
        <v>80</v>
      </c>
      <c r="D10">
        <v>1.1499999999999999</v>
      </c>
      <c r="E10">
        <v>2</v>
      </c>
      <c r="F10">
        <v>2</v>
      </c>
      <c r="G10">
        <v>7.1999999999999995E-2</v>
      </c>
      <c r="H10">
        <v>0</v>
      </c>
      <c r="I10">
        <v>0</v>
      </c>
      <c r="J10" s="1">
        <v>1</v>
      </c>
      <c r="L10">
        <f t="shared" si="0"/>
        <v>0</v>
      </c>
    </row>
    <row r="11" spans="1:13" x14ac:dyDescent="0.3">
      <c r="A11">
        <v>30</v>
      </c>
      <c r="B11">
        <v>2</v>
      </c>
      <c r="C11" s="1">
        <v>90</v>
      </c>
      <c r="D11">
        <v>1.1499999999999999</v>
      </c>
      <c r="E11">
        <v>2</v>
      </c>
      <c r="F11">
        <v>2</v>
      </c>
      <c r="G11">
        <v>8.5000000000000006E-2</v>
      </c>
      <c r="H11">
        <v>0</v>
      </c>
      <c r="I11">
        <v>0</v>
      </c>
      <c r="J11" s="1">
        <v>1</v>
      </c>
      <c r="L11">
        <f t="shared" si="0"/>
        <v>0</v>
      </c>
    </row>
    <row r="12" spans="1:13" s="2" customFormat="1" x14ac:dyDescent="0.3">
      <c r="A12" s="2">
        <v>30</v>
      </c>
      <c r="B12" s="2">
        <v>2</v>
      </c>
      <c r="C12" s="3">
        <v>100</v>
      </c>
      <c r="D12" s="2">
        <v>1.1499999999999999</v>
      </c>
      <c r="E12" s="2">
        <v>2</v>
      </c>
      <c r="F12" s="2">
        <v>2</v>
      </c>
      <c r="G12" s="2">
        <v>7.3999999999999996E-2</v>
      </c>
      <c r="H12" s="2">
        <v>0</v>
      </c>
      <c r="I12" s="2">
        <v>0</v>
      </c>
      <c r="J12" s="3">
        <v>1</v>
      </c>
      <c r="K12" s="5">
        <f>AVERAGE(G3:G12)</f>
        <v>7.2099999999999997E-2</v>
      </c>
      <c r="L12" s="2">
        <f t="shared" si="0"/>
        <v>0</v>
      </c>
    </row>
    <row r="13" spans="1:13" x14ac:dyDescent="0.3">
      <c r="A13">
        <v>30</v>
      </c>
      <c r="B13">
        <v>3</v>
      </c>
      <c r="C13" s="1">
        <v>10</v>
      </c>
      <c r="D13">
        <v>1.1499999999999999</v>
      </c>
      <c r="E13">
        <v>1</v>
      </c>
      <c r="F13">
        <v>1</v>
      </c>
      <c r="G13">
        <v>7.3999999999999996E-2</v>
      </c>
      <c r="H13">
        <v>0</v>
      </c>
      <c r="I13">
        <v>0</v>
      </c>
      <c r="J13" s="1">
        <v>1</v>
      </c>
      <c r="L13">
        <f t="shared" si="0"/>
        <v>0</v>
      </c>
    </row>
    <row r="14" spans="1:13" x14ac:dyDescent="0.3">
      <c r="A14">
        <v>30</v>
      </c>
      <c r="B14">
        <v>3</v>
      </c>
      <c r="C14" s="1">
        <v>20</v>
      </c>
      <c r="D14">
        <v>1.1499999999999999</v>
      </c>
      <c r="E14">
        <v>1</v>
      </c>
      <c r="F14">
        <v>1</v>
      </c>
      <c r="G14">
        <v>7.1999999999999995E-2</v>
      </c>
      <c r="H14">
        <v>0</v>
      </c>
      <c r="I14">
        <v>0</v>
      </c>
      <c r="J14" s="1">
        <v>1</v>
      </c>
      <c r="L14">
        <f t="shared" si="0"/>
        <v>0</v>
      </c>
    </row>
    <row r="15" spans="1:13" x14ac:dyDescent="0.3">
      <c r="A15">
        <v>30</v>
      </c>
      <c r="B15">
        <v>3</v>
      </c>
      <c r="C15" s="1">
        <v>30</v>
      </c>
      <c r="D15">
        <v>1.1499999999999999</v>
      </c>
      <c r="E15">
        <v>1</v>
      </c>
      <c r="F15">
        <v>1</v>
      </c>
      <c r="G15">
        <v>7.2999999999999995E-2</v>
      </c>
      <c r="H15">
        <v>0</v>
      </c>
      <c r="I15">
        <v>0</v>
      </c>
      <c r="J15" s="1">
        <v>1</v>
      </c>
      <c r="L15">
        <f t="shared" si="0"/>
        <v>0</v>
      </c>
    </row>
    <row r="16" spans="1:13" x14ac:dyDescent="0.3">
      <c r="A16">
        <v>30</v>
      </c>
      <c r="B16">
        <v>3</v>
      </c>
      <c r="C16" s="1">
        <v>40</v>
      </c>
      <c r="D16">
        <v>1.1499999999999999</v>
      </c>
      <c r="E16">
        <v>1</v>
      </c>
      <c r="F16">
        <v>1</v>
      </c>
      <c r="G16">
        <v>9.6000000000000002E-2</v>
      </c>
      <c r="H16">
        <v>0</v>
      </c>
      <c r="I16">
        <v>0</v>
      </c>
      <c r="J16" s="1">
        <v>1</v>
      </c>
      <c r="L16">
        <f t="shared" si="0"/>
        <v>0</v>
      </c>
    </row>
    <row r="17" spans="1:12" x14ac:dyDescent="0.3">
      <c r="A17">
        <v>30</v>
      </c>
      <c r="B17">
        <v>3</v>
      </c>
      <c r="C17" s="1">
        <v>50</v>
      </c>
      <c r="D17">
        <v>1.1499999999999999</v>
      </c>
      <c r="E17">
        <v>1</v>
      </c>
      <c r="F17">
        <v>1</v>
      </c>
      <c r="G17">
        <v>7.4999999999999997E-2</v>
      </c>
      <c r="H17">
        <v>0</v>
      </c>
      <c r="I17">
        <v>0</v>
      </c>
      <c r="J17" s="1">
        <v>1</v>
      </c>
      <c r="L17">
        <f t="shared" si="0"/>
        <v>0</v>
      </c>
    </row>
    <row r="18" spans="1:12" x14ac:dyDescent="0.3">
      <c r="A18">
        <v>30</v>
      </c>
      <c r="B18">
        <v>3</v>
      </c>
      <c r="C18" s="1">
        <v>60</v>
      </c>
      <c r="D18">
        <v>1.1499999999999999</v>
      </c>
      <c r="E18">
        <v>2</v>
      </c>
      <c r="F18">
        <v>2</v>
      </c>
      <c r="G18">
        <v>0.11899999999999999</v>
      </c>
      <c r="H18">
        <v>0</v>
      </c>
      <c r="I18">
        <v>0</v>
      </c>
      <c r="J18" s="1">
        <v>1</v>
      </c>
      <c r="L18">
        <f t="shared" si="0"/>
        <v>0</v>
      </c>
    </row>
    <row r="19" spans="1:12" x14ac:dyDescent="0.3">
      <c r="A19">
        <v>30</v>
      </c>
      <c r="B19">
        <v>3</v>
      </c>
      <c r="C19" s="1">
        <v>70</v>
      </c>
      <c r="D19">
        <v>1.1499999999999999</v>
      </c>
      <c r="E19">
        <v>1</v>
      </c>
      <c r="F19">
        <v>1</v>
      </c>
      <c r="G19">
        <v>6.7000000000000004E-2</v>
      </c>
      <c r="H19">
        <v>0</v>
      </c>
      <c r="I19">
        <v>0</v>
      </c>
      <c r="J19" s="1">
        <v>1</v>
      </c>
      <c r="L19">
        <f t="shared" si="0"/>
        <v>0</v>
      </c>
    </row>
    <row r="20" spans="1:12" x14ac:dyDescent="0.3">
      <c r="A20">
        <v>30</v>
      </c>
      <c r="B20">
        <v>3</v>
      </c>
      <c r="C20" s="1">
        <v>80</v>
      </c>
      <c r="D20">
        <v>1.1499999999999999</v>
      </c>
      <c r="E20">
        <v>1</v>
      </c>
      <c r="F20">
        <v>1</v>
      </c>
      <c r="G20">
        <v>9.1999999999999998E-2</v>
      </c>
      <c r="H20">
        <v>0</v>
      </c>
      <c r="I20">
        <v>0</v>
      </c>
      <c r="J20" s="1">
        <v>1</v>
      </c>
      <c r="L20">
        <f t="shared" si="0"/>
        <v>0</v>
      </c>
    </row>
    <row r="21" spans="1:12" x14ac:dyDescent="0.3">
      <c r="A21">
        <v>30</v>
      </c>
      <c r="B21">
        <v>3</v>
      </c>
      <c r="C21" s="1">
        <v>90</v>
      </c>
      <c r="D21">
        <v>1.1499999999999999</v>
      </c>
      <c r="E21">
        <v>1</v>
      </c>
      <c r="F21">
        <v>1</v>
      </c>
      <c r="G21">
        <v>7.4999999999999997E-2</v>
      </c>
      <c r="H21">
        <v>0</v>
      </c>
      <c r="I21">
        <v>0</v>
      </c>
      <c r="J21" s="1">
        <v>1</v>
      </c>
      <c r="L21">
        <f t="shared" si="0"/>
        <v>0</v>
      </c>
    </row>
    <row r="22" spans="1:12" s="2" customFormat="1" x14ac:dyDescent="0.3">
      <c r="A22" s="2">
        <v>30</v>
      </c>
      <c r="B22" s="2">
        <v>3</v>
      </c>
      <c r="C22" s="3">
        <v>100</v>
      </c>
      <c r="D22" s="2">
        <v>1.1499999999999999</v>
      </c>
      <c r="E22" s="2">
        <v>1</v>
      </c>
      <c r="F22" s="2">
        <v>1</v>
      </c>
      <c r="G22" s="2">
        <v>7.6999999999999999E-2</v>
      </c>
      <c r="H22" s="2">
        <v>0</v>
      </c>
      <c r="I22" s="2">
        <v>0</v>
      </c>
      <c r="J22" s="3">
        <v>1</v>
      </c>
      <c r="K22" s="5">
        <f>AVERAGE(G13:G22)</f>
        <v>8.1999999999999976E-2</v>
      </c>
      <c r="L22" s="2">
        <f t="shared" si="0"/>
        <v>0</v>
      </c>
    </row>
    <row r="23" spans="1:12" x14ac:dyDescent="0.3">
      <c r="A23">
        <v>30</v>
      </c>
      <c r="B23">
        <v>4</v>
      </c>
      <c r="C23" s="1">
        <v>10</v>
      </c>
      <c r="D23">
        <v>1.1499999999999999</v>
      </c>
      <c r="E23">
        <v>0</v>
      </c>
      <c r="F23">
        <v>0</v>
      </c>
      <c r="G23">
        <v>6.0999999999999999E-2</v>
      </c>
      <c r="H23">
        <v>0</v>
      </c>
      <c r="I23">
        <v>0</v>
      </c>
      <c r="J23" s="1">
        <v>1</v>
      </c>
      <c r="L23">
        <f t="shared" si="0"/>
        <v>0</v>
      </c>
    </row>
    <row r="24" spans="1:12" x14ac:dyDescent="0.3">
      <c r="A24">
        <v>30</v>
      </c>
      <c r="B24">
        <v>4</v>
      </c>
      <c r="C24" s="1">
        <v>20</v>
      </c>
      <c r="D24">
        <v>1.1499999999999999</v>
      </c>
      <c r="E24">
        <v>1</v>
      </c>
      <c r="F24">
        <v>1</v>
      </c>
      <c r="G24">
        <v>7.5999999999999998E-2</v>
      </c>
      <c r="H24">
        <v>1</v>
      </c>
      <c r="I24">
        <v>1</v>
      </c>
      <c r="J24" s="1">
        <v>1</v>
      </c>
      <c r="L24">
        <f t="shared" si="0"/>
        <v>0</v>
      </c>
    </row>
    <row r="25" spans="1:12" x14ac:dyDescent="0.3">
      <c r="A25">
        <v>30</v>
      </c>
      <c r="B25">
        <v>4</v>
      </c>
      <c r="C25" s="1">
        <v>30</v>
      </c>
      <c r="D25">
        <v>1.1499999999999999</v>
      </c>
      <c r="E25">
        <v>0</v>
      </c>
      <c r="F25">
        <v>0</v>
      </c>
      <c r="G25">
        <v>6.4000000000000001E-2</v>
      </c>
      <c r="H25">
        <v>0</v>
      </c>
      <c r="I25">
        <v>0</v>
      </c>
      <c r="J25" s="1">
        <v>1</v>
      </c>
      <c r="L25">
        <f t="shared" si="0"/>
        <v>0</v>
      </c>
    </row>
    <row r="26" spans="1:12" x14ac:dyDescent="0.3">
      <c r="A26">
        <v>30</v>
      </c>
      <c r="B26">
        <v>4</v>
      </c>
      <c r="C26" s="1">
        <v>40</v>
      </c>
      <c r="D26">
        <v>1.1499999999999999</v>
      </c>
      <c r="E26">
        <v>0</v>
      </c>
      <c r="F26">
        <v>0</v>
      </c>
      <c r="G26">
        <v>7.1999999999999995E-2</v>
      </c>
      <c r="H26">
        <v>0</v>
      </c>
      <c r="I26">
        <v>0</v>
      </c>
      <c r="J26" s="1">
        <v>1</v>
      </c>
      <c r="L26">
        <f t="shared" si="0"/>
        <v>0</v>
      </c>
    </row>
    <row r="27" spans="1:12" x14ac:dyDescent="0.3">
      <c r="A27">
        <v>30</v>
      </c>
      <c r="B27">
        <v>4</v>
      </c>
      <c r="C27" s="1">
        <v>50</v>
      </c>
      <c r="D27">
        <v>1.1499999999999999</v>
      </c>
      <c r="E27">
        <v>0</v>
      </c>
      <c r="F27">
        <v>0</v>
      </c>
      <c r="G27">
        <v>6.4000000000000001E-2</v>
      </c>
      <c r="H27">
        <v>0</v>
      </c>
      <c r="I27">
        <v>0</v>
      </c>
      <c r="J27" s="1">
        <v>1</v>
      </c>
      <c r="L27">
        <f t="shared" si="0"/>
        <v>0</v>
      </c>
    </row>
    <row r="28" spans="1:12" x14ac:dyDescent="0.3">
      <c r="A28">
        <v>30</v>
      </c>
      <c r="B28">
        <v>4</v>
      </c>
      <c r="C28" s="1">
        <v>60</v>
      </c>
      <c r="D28">
        <v>1.1499999999999999</v>
      </c>
      <c r="E28">
        <v>0</v>
      </c>
      <c r="F28">
        <v>0</v>
      </c>
      <c r="G28">
        <v>6.3E-2</v>
      </c>
      <c r="H28">
        <v>0</v>
      </c>
      <c r="I28">
        <v>0</v>
      </c>
      <c r="J28" s="1">
        <v>1</v>
      </c>
      <c r="L28">
        <f t="shared" si="0"/>
        <v>0</v>
      </c>
    </row>
    <row r="29" spans="1:12" x14ac:dyDescent="0.3">
      <c r="A29">
        <v>30</v>
      </c>
      <c r="B29">
        <v>4</v>
      </c>
      <c r="C29" s="1">
        <v>70</v>
      </c>
      <c r="D29">
        <v>1.1499999999999999</v>
      </c>
      <c r="E29">
        <v>0</v>
      </c>
      <c r="F29">
        <v>0</v>
      </c>
      <c r="G29">
        <v>6.0999999999999999E-2</v>
      </c>
      <c r="H29">
        <v>0</v>
      </c>
      <c r="I29">
        <v>0</v>
      </c>
      <c r="J29" s="1">
        <v>1</v>
      </c>
      <c r="L29">
        <f t="shared" si="0"/>
        <v>0</v>
      </c>
    </row>
    <row r="30" spans="1:12" x14ac:dyDescent="0.3">
      <c r="A30">
        <v>30</v>
      </c>
      <c r="B30">
        <v>4</v>
      </c>
      <c r="C30" s="1">
        <v>80</v>
      </c>
      <c r="D30">
        <v>1.1499999999999999</v>
      </c>
      <c r="E30">
        <v>0</v>
      </c>
      <c r="F30">
        <v>0</v>
      </c>
      <c r="G30">
        <v>5.8999999999999997E-2</v>
      </c>
      <c r="H30">
        <v>0</v>
      </c>
      <c r="I30">
        <v>0</v>
      </c>
      <c r="J30" s="1">
        <v>1</v>
      </c>
      <c r="L30">
        <f t="shared" si="0"/>
        <v>0</v>
      </c>
    </row>
    <row r="31" spans="1:12" x14ac:dyDescent="0.3">
      <c r="A31">
        <v>30</v>
      </c>
      <c r="B31">
        <v>4</v>
      </c>
      <c r="C31" s="1">
        <v>90</v>
      </c>
      <c r="D31">
        <v>1.1499999999999999</v>
      </c>
      <c r="E31">
        <v>0</v>
      </c>
      <c r="F31">
        <v>0</v>
      </c>
      <c r="G31">
        <v>6.3E-2</v>
      </c>
      <c r="H31">
        <v>0</v>
      </c>
      <c r="I31">
        <v>0</v>
      </c>
      <c r="J31" s="1">
        <v>1</v>
      </c>
      <c r="L31">
        <f t="shared" si="0"/>
        <v>0</v>
      </c>
    </row>
    <row r="32" spans="1:12" s="2" customFormat="1" x14ac:dyDescent="0.3">
      <c r="A32" s="2">
        <v>30</v>
      </c>
      <c r="B32" s="2">
        <v>4</v>
      </c>
      <c r="C32" s="3">
        <v>100</v>
      </c>
      <c r="D32" s="2">
        <v>1.1499999999999999</v>
      </c>
      <c r="E32" s="2">
        <v>1</v>
      </c>
      <c r="F32" s="2">
        <v>1</v>
      </c>
      <c r="G32" s="2">
        <v>6.0999999999999999E-2</v>
      </c>
      <c r="H32" s="2">
        <v>1</v>
      </c>
      <c r="I32" s="2">
        <v>1</v>
      </c>
      <c r="J32" s="3">
        <v>1</v>
      </c>
      <c r="K32" s="5">
        <f>AVERAGE(G23:G32)</f>
        <v>6.4399999999999985E-2</v>
      </c>
      <c r="L32" s="2">
        <f t="shared" si="0"/>
        <v>0</v>
      </c>
    </row>
    <row r="33" spans="1:12" x14ac:dyDescent="0.3">
      <c r="A33">
        <v>30</v>
      </c>
      <c r="B33">
        <v>5</v>
      </c>
      <c r="C33" s="1">
        <v>10</v>
      </c>
      <c r="D33">
        <v>1.1499999999999999</v>
      </c>
      <c r="E33">
        <v>1</v>
      </c>
      <c r="F33">
        <v>1</v>
      </c>
      <c r="G33">
        <v>7.5999999999999998E-2</v>
      </c>
      <c r="H33">
        <v>2</v>
      </c>
      <c r="I33">
        <v>2</v>
      </c>
      <c r="J33" s="1">
        <v>1</v>
      </c>
      <c r="L33">
        <f t="shared" si="0"/>
        <v>0</v>
      </c>
    </row>
    <row r="34" spans="1:12" x14ac:dyDescent="0.3">
      <c r="A34">
        <v>30</v>
      </c>
      <c r="B34">
        <v>5</v>
      </c>
      <c r="C34" s="1">
        <v>20</v>
      </c>
      <c r="D34">
        <v>1.1499999999999999</v>
      </c>
      <c r="E34">
        <v>0</v>
      </c>
      <c r="F34">
        <v>0</v>
      </c>
      <c r="G34">
        <v>6.2E-2</v>
      </c>
      <c r="H34">
        <v>1</v>
      </c>
      <c r="I34">
        <v>1</v>
      </c>
      <c r="J34" s="1">
        <v>1</v>
      </c>
      <c r="L34">
        <f t="shared" si="0"/>
        <v>0</v>
      </c>
    </row>
    <row r="35" spans="1:12" x14ac:dyDescent="0.3">
      <c r="A35">
        <v>30</v>
      </c>
      <c r="B35">
        <v>5</v>
      </c>
      <c r="C35" s="1">
        <v>30</v>
      </c>
      <c r="D35">
        <v>1.1499999999999999</v>
      </c>
      <c r="E35">
        <v>0</v>
      </c>
      <c r="F35">
        <v>0</v>
      </c>
      <c r="G35">
        <v>0.06</v>
      </c>
      <c r="H35">
        <v>0</v>
      </c>
      <c r="I35">
        <v>0</v>
      </c>
      <c r="J35" s="1">
        <v>1</v>
      </c>
      <c r="L35">
        <f t="shared" si="0"/>
        <v>0</v>
      </c>
    </row>
    <row r="36" spans="1:12" x14ac:dyDescent="0.3">
      <c r="A36">
        <v>30</v>
      </c>
      <c r="B36">
        <v>5</v>
      </c>
      <c r="C36" s="1">
        <v>40</v>
      </c>
      <c r="D36">
        <v>1.1499999999999999</v>
      </c>
      <c r="E36">
        <v>0</v>
      </c>
      <c r="F36">
        <v>0</v>
      </c>
      <c r="G36">
        <v>6.0999999999999999E-2</v>
      </c>
      <c r="H36">
        <v>1</v>
      </c>
      <c r="I36">
        <v>1</v>
      </c>
      <c r="J36" s="1">
        <v>1</v>
      </c>
      <c r="L36">
        <f t="shared" si="0"/>
        <v>0</v>
      </c>
    </row>
    <row r="37" spans="1:12" x14ac:dyDescent="0.3">
      <c r="A37">
        <v>30</v>
      </c>
      <c r="B37">
        <v>5</v>
      </c>
      <c r="C37" s="1">
        <v>50</v>
      </c>
      <c r="D37">
        <v>1.1499999999999999</v>
      </c>
      <c r="E37">
        <v>0</v>
      </c>
      <c r="F37">
        <v>0</v>
      </c>
      <c r="G37">
        <v>6.0999999999999999E-2</v>
      </c>
      <c r="H37">
        <v>1</v>
      </c>
      <c r="I37">
        <v>1</v>
      </c>
      <c r="J37" s="1">
        <v>1</v>
      </c>
      <c r="L37">
        <f t="shared" si="0"/>
        <v>0</v>
      </c>
    </row>
    <row r="38" spans="1:12" x14ac:dyDescent="0.3">
      <c r="A38">
        <v>30</v>
      </c>
      <c r="B38">
        <v>5</v>
      </c>
      <c r="C38" s="1">
        <v>60</v>
      </c>
      <c r="D38">
        <v>1.1499999999999999</v>
      </c>
      <c r="E38">
        <v>0</v>
      </c>
      <c r="F38">
        <v>0</v>
      </c>
      <c r="G38">
        <v>6.2E-2</v>
      </c>
      <c r="H38">
        <v>1</v>
      </c>
      <c r="I38">
        <v>1</v>
      </c>
      <c r="J38" s="1">
        <v>1</v>
      </c>
      <c r="L38">
        <f t="shared" si="0"/>
        <v>0</v>
      </c>
    </row>
    <row r="39" spans="1:12" x14ac:dyDescent="0.3">
      <c r="A39">
        <v>30</v>
      </c>
      <c r="B39">
        <v>5</v>
      </c>
      <c r="C39" s="1">
        <v>70</v>
      </c>
      <c r="D39">
        <v>1.1499999999999999</v>
      </c>
      <c r="E39">
        <v>0</v>
      </c>
      <c r="F39">
        <v>0</v>
      </c>
      <c r="G39">
        <v>5.8000000000000003E-2</v>
      </c>
      <c r="H39">
        <v>1</v>
      </c>
      <c r="I39">
        <v>1</v>
      </c>
      <c r="J39" s="1">
        <v>1</v>
      </c>
      <c r="L39">
        <f t="shared" si="0"/>
        <v>0</v>
      </c>
    </row>
    <row r="40" spans="1:12" x14ac:dyDescent="0.3">
      <c r="A40">
        <v>30</v>
      </c>
      <c r="B40">
        <v>5</v>
      </c>
      <c r="C40" s="1">
        <v>80</v>
      </c>
      <c r="D40">
        <v>1.1499999999999999</v>
      </c>
      <c r="E40">
        <v>0</v>
      </c>
      <c r="F40">
        <v>0</v>
      </c>
      <c r="G40">
        <v>6.3E-2</v>
      </c>
      <c r="H40">
        <v>0</v>
      </c>
      <c r="I40">
        <v>0</v>
      </c>
      <c r="J40" s="1">
        <v>1</v>
      </c>
      <c r="L40">
        <f t="shared" si="0"/>
        <v>0</v>
      </c>
    </row>
    <row r="41" spans="1:12" x14ac:dyDescent="0.3">
      <c r="A41">
        <v>30</v>
      </c>
      <c r="B41">
        <v>5</v>
      </c>
      <c r="C41" s="1">
        <v>90</v>
      </c>
      <c r="D41">
        <v>1.1499999999999999</v>
      </c>
      <c r="E41">
        <v>1</v>
      </c>
      <c r="F41">
        <v>1</v>
      </c>
      <c r="G41">
        <v>7.8E-2</v>
      </c>
      <c r="H41">
        <v>2</v>
      </c>
      <c r="I41">
        <v>2</v>
      </c>
      <c r="J41" s="1">
        <v>1</v>
      </c>
      <c r="L41">
        <f t="shared" si="0"/>
        <v>0</v>
      </c>
    </row>
    <row r="42" spans="1:12" s="2" customFormat="1" x14ac:dyDescent="0.3">
      <c r="A42" s="2">
        <v>30</v>
      </c>
      <c r="B42" s="2">
        <v>5</v>
      </c>
      <c r="C42" s="3">
        <v>100</v>
      </c>
      <c r="D42" s="2">
        <v>1.1499999999999999</v>
      </c>
      <c r="E42" s="2">
        <v>0</v>
      </c>
      <c r="F42" s="2">
        <v>0</v>
      </c>
      <c r="G42" s="2">
        <v>6.3E-2</v>
      </c>
      <c r="H42" s="2">
        <v>1</v>
      </c>
      <c r="I42" s="2">
        <v>1</v>
      </c>
      <c r="J42" s="3">
        <v>1</v>
      </c>
      <c r="K42" s="5">
        <f>AVERAGE(G33:G42)</f>
        <v>6.4399999999999985E-2</v>
      </c>
      <c r="L42" s="2">
        <f t="shared" si="0"/>
        <v>0</v>
      </c>
    </row>
    <row r="43" spans="1:12" x14ac:dyDescent="0.3">
      <c r="A43">
        <v>40</v>
      </c>
      <c r="B43">
        <v>2</v>
      </c>
      <c r="C43" s="1">
        <v>10</v>
      </c>
      <c r="D43">
        <v>1.1499999999999999</v>
      </c>
      <c r="E43">
        <v>4</v>
      </c>
      <c r="F43">
        <v>4</v>
      </c>
      <c r="G43">
        <v>0.47899999999999998</v>
      </c>
      <c r="H43">
        <v>0</v>
      </c>
      <c r="I43">
        <v>0</v>
      </c>
      <c r="J43" s="1">
        <v>1</v>
      </c>
      <c r="L43">
        <f t="shared" si="0"/>
        <v>0</v>
      </c>
    </row>
    <row r="44" spans="1:12" x14ac:dyDescent="0.3">
      <c r="A44">
        <v>40</v>
      </c>
      <c r="B44">
        <v>2</v>
      </c>
      <c r="C44" s="1">
        <v>20</v>
      </c>
      <c r="D44">
        <v>1.1499999999999999</v>
      </c>
      <c r="E44">
        <v>4</v>
      </c>
      <c r="F44">
        <v>4</v>
      </c>
      <c r="G44">
        <v>0.47099999999999997</v>
      </c>
      <c r="H44">
        <v>0</v>
      </c>
      <c r="I44">
        <v>0</v>
      </c>
      <c r="J44" s="1">
        <v>1</v>
      </c>
      <c r="L44">
        <f t="shared" si="0"/>
        <v>0</v>
      </c>
    </row>
    <row r="45" spans="1:12" x14ac:dyDescent="0.3">
      <c r="A45">
        <v>40</v>
      </c>
      <c r="B45">
        <v>2</v>
      </c>
      <c r="C45" s="1">
        <v>30</v>
      </c>
      <c r="D45">
        <v>1.1499999999999999</v>
      </c>
      <c r="E45">
        <v>4</v>
      </c>
      <c r="F45">
        <v>4</v>
      </c>
      <c r="G45">
        <v>0.47699999999999998</v>
      </c>
      <c r="H45">
        <v>0</v>
      </c>
      <c r="I45">
        <v>0</v>
      </c>
      <c r="J45" s="1">
        <v>1</v>
      </c>
      <c r="L45">
        <f t="shared" si="0"/>
        <v>0</v>
      </c>
    </row>
    <row r="46" spans="1:12" x14ac:dyDescent="0.3">
      <c r="A46">
        <v>40</v>
      </c>
      <c r="B46">
        <v>2</v>
      </c>
      <c r="C46" s="1">
        <v>40</v>
      </c>
      <c r="D46">
        <v>1.1499999999999999</v>
      </c>
      <c r="E46">
        <v>4</v>
      </c>
      <c r="F46">
        <v>4</v>
      </c>
      <c r="G46">
        <v>0.48599999999999999</v>
      </c>
      <c r="H46">
        <v>0</v>
      </c>
      <c r="I46">
        <v>0</v>
      </c>
      <c r="J46" s="1">
        <v>1</v>
      </c>
      <c r="L46">
        <f t="shared" si="0"/>
        <v>0</v>
      </c>
    </row>
    <row r="47" spans="1:12" x14ac:dyDescent="0.3">
      <c r="A47">
        <v>40</v>
      </c>
      <c r="B47">
        <v>2</v>
      </c>
      <c r="C47" s="1">
        <v>50</v>
      </c>
      <c r="D47">
        <v>1.1499999999999999</v>
      </c>
      <c r="E47">
        <v>4</v>
      </c>
      <c r="F47">
        <v>4</v>
      </c>
      <c r="G47">
        <v>0.39800000000000002</v>
      </c>
      <c r="H47">
        <v>0</v>
      </c>
      <c r="I47">
        <v>0</v>
      </c>
      <c r="J47" s="1">
        <v>1</v>
      </c>
      <c r="L47">
        <f t="shared" si="0"/>
        <v>0</v>
      </c>
    </row>
    <row r="48" spans="1:12" x14ac:dyDescent="0.3">
      <c r="A48">
        <v>40</v>
      </c>
      <c r="B48">
        <v>2</v>
      </c>
      <c r="C48" s="1">
        <v>60</v>
      </c>
      <c r="D48">
        <v>1.1499999999999999</v>
      </c>
      <c r="E48">
        <v>5</v>
      </c>
      <c r="F48">
        <v>5</v>
      </c>
      <c r="G48">
        <v>0.55900000000000005</v>
      </c>
      <c r="H48">
        <v>0</v>
      </c>
      <c r="I48">
        <v>0</v>
      </c>
      <c r="J48" s="1">
        <v>1</v>
      </c>
      <c r="L48">
        <f t="shared" si="0"/>
        <v>0</v>
      </c>
    </row>
    <row r="49" spans="1:12" x14ac:dyDescent="0.3">
      <c r="A49">
        <v>40</v>
      </c>
      <c r="B49">
        <v>2</v>
      </c>
      <c r="C49" s="1">
        <v>70</v>
      </c>
      <c r="D49">
        <v>1.1499999999999999</v>
      </c>
      <c r="E49">
        <v>4</v>
      </c>
      <c r="F49">
        <v>4</v>
      </c>
      <c r="G49">
        <v>0.53400000000000003</v>
      </c>
      <c r="H49">
        <v>0</v>
      </c>
      <c r="I49">
        <v>0</v>
      </c>
      <c r="J49" s="1">
        <v>1</v>
      </c>
      <c r="L49">
        <f t="shared" si="0"/>
        <v>0</v>
      </c>
    </row>
    <row r="50" spans="1:12" x14ac:dyDescent="0.3">
      <c r="A50">
        <v>40</v>
      </c>
      <c r="B50">
        <v>2</v>
      </c>
      <c r="C50" s="1">
        <v>80</v>
      </c>
      <c r="D50">
        <v>1.1499999999999999</v>
      </c>
      <c r="E50">
        <v>4</v>
      </c>
      <c r="F50">
        <v>4</v>
      </c>
      <c r="G50">
        <v>0.435</v>
      </c>
      <c r="H50">
        <v>0</v>
      </c>
      <c r="I50">
        <v>0</v>
      </c>
      <c r="J50" s="1">
        <v>1</v>
      </c>
      <c r="L50">
        <f t="shared" si="0"/>
        <v>0</v>
      </c>
    </row>
    <row r="51" spans="1:12" x14ac:dyDescent="0.3">
      <c r="A51">
        <v>40</v>
      </c>
      <c r="B51">
        <v>2</v>
      </c>
      <c r="C51" s="1">
        <v>90</v>
      </c>
      <c r="D51">
        <v>1.1499999999999999</v>
      </c>
      <c r="E51">
        <v>4</v>
      </c>
      <c r="F51">
        <v>4</v>
      </c>
      <c r="G51">
        <v>0.433</v>
      </c>
      <c r="H51">
        <v>0</v>
      </c>
      <c r="I51">
        <v>0</v>
      </c>
      <c r="J51" s="1">
        <v>1</v>
      </c>
      <c r="L51">
        <f t="shared" si="0"/>
        <v>0</v>
      </c>
    </row>
    <row r="52" spans="1:12" s="2" customFormat="1" x14ac:dyDescent="0.3">
      <c r="A52" s="2">
        <v>40</v>
      </c>
      <c r="B52" s="2">
        <v>2</v>
      </c>
      <c r="C52" s="3">
        <v>100</v>
      </c>
      <c r="D52" s="2">
        <v>1.1499999999999999</v>
      </c>
      <c r="E52" s="2">
        <v>4</v>
      </c>
      <c r="F52" s="2">
        <v>4</v>
      </c>
      <c r="G52" s="2">
        <v>0.42599999999999999</v>
      </c>
      <c r="H52" s="2">
        <v>0</v>
      </c>
      <c r="I52" s="2">
        <v>0</v>
      </c>
      <c r="J52" s="3">
        <v>1</v>
      </c>
      <c r="K52" s="5">
        <f>AVERAGE(G43:G52)</f>
        <v>0.46980000000000005</v>
      </c>
      <c r="L52" s="2">
        <f t="shared" si="0"/>
        <v>0</v>
      </c>
    </row>
    <row r="53" spans="1:12" x14ac:dyDescent="0.3">
      <c r="A53">
        <v>40</v>
      </c>
      <c r="B53">
        <v>3</v>
      </c>
      <c r="C53" s="1">
        <v>10</v>
      </c>
      <c r="D53">
        <v>1.1499999999999999</v>
      </c>
      <c r="E53">
        <v>3</v>
      </c>
      <c r="F53">
        <v>3</v>
      </c>
      <c r="G53">
        <v>0.39400000000000002</v>
      </c>
      <c r="H53">
        <v>0</v>
      </c>
      <c r="I53">
        <v>0</v>
      </c>
      <c r="J53" s="1">
        <v>1</v>
      </c>
      <c r="L53">
        <f t="shared" si="0"/>
        <v>0</v>
      </c>
    </row>
    <row r="54" spans="1:12" x14ac:dyDescent="0.3">
      <c r="A54">
        <v>40</v>
      </c>
      <c r="B54">
        <v>3</v>
      </c>
      <c r="C54" s="1">
        <v>20</v>
      </c>
      <c r="D54">
        <v>1.1499999999999999</v>
      </c>
      <c r="E54">
        <v>3</v>
      </c>
      <c r="F54">
        <v>3</v>
      </c>
      <c r="G54">
        <v>0.316</v>
      </c>
      <c r="H54">
        <v>0</v>
      </c>
      <c r="I54">
        <v>0</v>
      </c>
      <c r="J54" s="1">
        <v>1</v>
      </c>
      <c r="L54">
        <f t="shared" si="0"/>
        <v>0</v>
      </c>
    </row>
    <row r="55" spans="1:12" x14ac:dyDescent="0.3">
      <c r="A55">
        <v>40</v>
      </c>
      <c r="B55">
        <v>3</v>
      </c>
      <c r="C55" s="1">
        <v>30</v>
      </c>
      <c r="D55">
        <v>1.1499999999999999</v>
      </c>
      <c r="E55">
        <v>3</v>
      </c>
      <c r="F55">
        <v>3</v>
      </c>
      <c r="G55">
        <v>0.39200000000000002</v>
      </c>
      <c r="H55">
        <v>0</v>
      </c>
      <c r="I55">
        <v>0</v>
      </c>
      <c r="J55" s="1">
        <v>1</v>
      </c>
      <c r="L55">
        <f t="shared" si="0"/>
        <v>0</v>
      </c>
    </row>
    <row r="56" spans="1:12" x14ac:dyDescent="0.3">
      <c r="A56">
        <v>40</v>
      </c>
      <c r="B56">
        <v>3</v>
      </c>
      <c r="C56" s="1">
        <v>40</v>
      </c>
      <c r="D56">
        <v>1.1499999999999999</v>
      </c>
      <c r="E56">
        <v>3</v>
      </c>
      <c r="F56">
        <v>3</v>
      </c>
      <c r="G56">
        <v>0.39200000000000002</v>
      </c>
      <c r="H56">
        <v>0</v>
      </c>
      <c r="I56">
        <v>0</v>
      </c>
      <c r="J56" s="1">
        <v>1</v>
      </c>
      <c r="L56">
        <f t="shared" si="0"/>
        <v>0</v>
      </c>
    </row>
    <row r="57" spans="1:12" x14ac:dyDescent="0.3">
      <c r="A57">
        <v>40</v>
      </c>
      <c r="B57">
        <v>3</v>
      </c>
      <c r="C57" s="1">
        <v>50</v>
      </c>
      <c r="D57">
        <v>1.1499999999999999</v>
      </c>
      <c r="E57">
        <v>3</v>
      </c>
      <c r="F57">
        <v>3</v>
      </c>
      <c r="G57">
        <v>0.36</v>
      </c>
      <c r="H57">
        <v>0</v>
      </c>
      <c r="I57">
        <v>0</v>
      </c>
      <c r="J57" s="1">
        <v>1</v>
      </c>
      <c r="L57">
        <f t="shared" si="0"/>
        <v>0</v>
      </c>
    </row>
    <row r="58" spans="1:12" x14ac:dyDescent="0.3">
      <c r="A58">
        <v>40</v>
      </c>
      <c r="B58">
        <v>3</v>
      </c>
      <c r="C58" s="1">
        <v>60</v>
      </c>
      <c r="D58">
        <v>1.1499999999999999</v>
      </c>
      <c r="E58">
        <v>3</v>
      </c>
      <c r="F58">
        <v>3</v>
      </c>
      <c r="G58">
        <v>0.32600000000000001</v>
      </c>
      <c r="H58">
        <v>0</v>
      </c>
      <c r="I58">
        <v>0</v>
      </c>
      <c r="J58" s="1">
        <v>1</v>
      </c>
      <c r="L58">
        <f t="shared" si="0"/>
        <v>0</v>
      </c>
    </row>
    <row r="59" spans="1:12" x14ac:dyDescent="0.3">
      <c r="A59">
        <v>40</v>
      </c>
      <c r="B59">
        <v>3</v>
      </c>
      <c r="C59" s="1">
        <v>70</v>
      </c>
      <c r="D59">
        <v>1.1499999999999999</v>
      </c>
      <c r="E59">
        <v>3</v>
      </c>
      <c r="F59">
        <v>3</v>
      </c>
      <c r="G59">
        <v>0.50700000000000001</v>
      </c>
      <c r="H59">
        <v>0</v>
      </c>
      <c r="I59">
        <v>0</v>
      </c>
      <c r="J59" s="1">
        <v>1</v>
      </c>
      <c r="L59">
        <f t="shared" si="0"/>
        <v>0</v>
      </c>
    </row>
    <row r="60" spans="1:12" x14ac:dyDescent="0.3">
      <c r="A60">
        <v>40</v>
      </c>
      <c r="B60">
        <v>3</v>
      </c>
      <c r="C60" s="1">
        <v>80</v>
      </c>
      <c r="D60">
        <v>1.1499999999999999</v>
      </c>
      <c r="E60">
        <v>3</v>
      </c>
      <c r="F60">
        <v>3</v>
      </c>
      <c r="G60">
        <v>0.374</v>
      </c>
      <c r="H60">
        <v>0</v>
      </c>
      <c r="I60">
        <v>0</v>
      </c>
      <c r="J60" s="1">
        <v>1</v>
      </c>
      <c r="L60">
        <f t="shared" si="0"/>
        <v>0</v>
      </c>
    </row>
    <row r="61" spans="1:12" x14ac:dyDescent="0.3">
      <c r="A61">
        <v>40</v>
      </c>
      <c r="B61">
        <v>3</v>
      </c>
      <c r="C61" s="1">
        <v>90</v>
      </c>
      <c r="D61">
        <v>1.1499999999999999</v>
      </c>
      <c r="E61">
        <v>3</v>
      </c>
      <c r="F61">
        <v>3</v>
      </c>
      <c r="G61">
        <v>0.34699999999999998</v>
      </c>
      <c r="H61">
        <v>0</v>
      </c>
      <c r="I61">
        <v>0</v>
      </c>
      <c r="J61" s="1">
        <v>1</v>
      </c>
      <c r="L61">
        <f t="shared" si="0"/>
        <v>0</v>
      </c>
    </row>
    <row r="62" spans="1:12" s="2" customFormat="1" x14ac:dyDescent="0.3">
      <c r="A62" s="2">
        <v>40</v>
      </c>
      <c r="B62" s="2">
        <v>3</v>
      </c>
      <c r="C62" s="3">
        <v>100</v>
      </c>
      <c r="D62" s="2">
        <v>1.1499999999999999</v>
      </c>
      <c r="E62" s="2">
        <v>3</v>
      </c>
      <c r="F62" s="2">
        <v>3</v>
      </c>
      <c r="G62" s="2">
        <v>0.4</v>
      </c>
      <c r="H62" s="2">
        <v>0</v>
      </c>
      <c r="I62" s="2">
        <v>0</v>
      </c>
      <c r="J62" s="3">
        <v>1</v>
      </c>
      <c r="K62" s="5">
        <f>AVERAGE(G53:G62)</f>
        <v>0.38079999999999997</v>
      </c>
      <c r="L62" s="2">
        <f t="shared" si="0"/>
        <v>0</v>
      </c>
    </row>
    <row r="63" spans="1:12" x14ac:dyDescent="0.3">
      <c r="A63">
        <v>40</v>
      </c>
      <c r="B63">
        <v>4</v>
      </c>
      <c r="C63" s="1">
        <v>10</v>
      </c>
      <c r="D63">
        <v>1.1499999999999999</v>
      </c>
      <c r="E63">
        <v>3</v>
      </c>
      <c r="F63">
        <v>3</v>
      </c>
      <c r="G63">
        <v>15.808999999999999</v>
      </c>
      <c r="H63">
        <v>0</v>
      </c>
      <c r="I63">
        <v>2</v>
      </c>
      <c r="J63" s="1">
        <v>2</v>
      </c>
      <c r="L63">
        <f t="shared" si="0"/>
        <v>0</v>
      </c>
    </row>
    <row r="64" spans="1:12" x14ac:dyDescent="0.3">
      <c r="A64">
        <v>40</v>
      </c>
      <c r="B64">
        <v>4</v>
      </c>
      <c r="C64" s="1">
        <v>20</v>
      </c>
      <c r="D64">
        <v>1.1499999999999999</v>
      </c>
      <c r="E64">
        <v>3</v>
      </c>
      <c r="F64">
        <v>3</v>
      </c>
      <c r="G64">
        <v>1.282</v>
      </c>
      <c r="H64">
        <v>0</v>
      </c>
      <c r="I64">
        <v>3</v>
      </c>
      <c r="J64" s="1">
        <v>5</v>
      </c>
      <c r="L64">
        <f t="shared" si="0"/>
        <v>0</v>
      </c>
    </row>
    <row r="65" spans="1:12" x14ac:dyDescent="0.3">
      <c r="A65">
        <v>40</v>
      </c>
      <c r="B65">
        <v>4</v>
      </c>
      <c r="C65" s="1">
        <v>30</v>
      </c>
      <c r="D65">
        <v>1.1499999999999999</v>
      </c>
      <c r="E65">
        <v>2</v>
      </c>
      <c r="F65">
        <v>2</v>
      </c>
      <c r="G65">
        <v>0.40300000000000002</v>
      </c>
      <c r="H65">
        <v>0</v>
      </c>
      <c r="I65">
        <v>0</v>
      </c>
      <c r="J65" s="1">
        <v>1</v>
      </c>
      <c r="L65">
        <f t="shared" si="0"/>
        <v>0</v>
      </c>
    </row>
    <row r="66" spans="1:12" x14ac:dyDescent="0.3">
      <c r="A66">
        <v>40</v>
      </c>
      <c r="B66">
        <v>4</v>
      </c>
      <c r="C66" s="1">
        <v>40</v>
      </c>
      <c r="D66">
        <v>1.1499999999999999</v>
      </c>
      <c r="E66">
        <v>3</v>
      </c>
      <c r="F66">
        <v>3</v>
      </c>
      <c r="G66">
        <v>180.81800000000001</v>
      </c>
      <c r="H66">
        <v>0</v>
      </c>
      <c r="I66">
        <v>0</v>
      </c>
      <c r="J66" s="1">
        <v>2</v>
      </c>
      <c r="L66">
        <f t="shared" si="0"/>
        <v>0</v>
      </c>
    </row>
    <row r="67" spans="1:12" x14ac:dyDescent="0.3">
      <c r="A67">
        <v>40</v>
      </c>
      <c r="B67">
        <v>4</v>
      </c>
      <c r="C67" s="1">
        <v>50</v>
      </c>
      <c r="D67">
        <v>1.1499999999999999</v>
      </c>
      <c r="E67">
        <v>2</v>
      </c>
      <c r="F67">
        <v>2</v>
      </c>
      <c r="G67">
        <v>0.27400000000000002</v>
      </c>
      <c r="H67">
        <v>0</v>
      </c>
      <c r="I67">
        <v>0</v>
      </c>
      <c r="J67" s="1">
        <v>1</v>
      </c>
      <c r="L67">
        <f t="shared" ref="L67:L130" si="1">IF(ISBLANK(E67),IF(ISBLANK(F67),"",100), IF(E67+F67=0, 0, IF(G67=3600, IF(E67=F67,1,(E67-F67)/E67*100), 0)))</f>
        <v>0</v>
      </c>
    </row>
    <row r="68" spans="1:12" x14ac:dyDescent="0.3">
      <c r="A68">
        <v>40</v>
      </c>
      <c r="B68">
        <v>4</v>
      </c>
      <c r="C68" s="1">
        <v>60</v>
      </c>
      <c r="D68">
        <v>1.1499999999999999</v>
      </c>
      <c r="E68">
        <v>2</v>
      </c>
      <c r="F68">
        <v>2</v>
      </c>
      <c r="G68">
        <v>0.247</v>
      </c>
      <c r="H68">
        <v>0</v>
      </c>
      <c r="I68">
        <v>0</v>
      </c>
      <c r="J68" s="1">
        <v>1</v>
      </c>
      <c r="L68">
        <f t="shared" si="1"/>
        <v>0</v>
      </c>
    </row>
    <row r="69" spans="1:12" x14ac:dyDescent="0.3">
      <c r="A69">
        <v>40</v>
      </c>
      <c r="B69">
        <v>4</v>
      </c>
      <c r="C69" s="1">
        <v>70</v>
      </c>
      <c r="D69">
        <v>1.1499999999999999</v>
      </c>
      <c r="E69">
        <v>2</v>
      </c>
      <c r="F69">
        <v>2</v>
      </c>
      <c r="G69">
        <v>0.40400000000000003</v>
      </c>
      <c r="H69">
        <v>0</v>
      </c>
      <c r="I69">
        <v>0</v>
      </c>
      <c r="J69" s="1">
        <v>1</v>
      </c>
      <c r="L69">
        <f t="shared" si="1"/>
        <v>0</v>
      </c>
    </row>
    <row r="70" spans="1:12" x14ac:dyDescent="0.3">
      <c r="A70">
        <v>40</v>
      </c>
      <c r="B70">
        <v>4</v>
      </c>
      <c r="C70" s="1">
        <v>80</v>
      </c>
      <c r="D70">
        <v>1.1499999999999999</v>
      </c>
      <c r="E70">
        <v>2</v>
      </c>
      <c r="F70">
        <v>2</v>
      </c>
      <c r="G70">
        <v>0.371</v>
      </c>
      <c r="H70">
        <v>0</v>
      </c>
      <c r="I70">
        <v>0</v>
      </c>
      <c r="J70" s="1">
        <v>1</v>
      </c>
      <c r="L70">
        <f t="shared" si="1"/>
        <v>0</v>
      </c>
    </row>
    <row r="71" spans="1:12" x14ac:dyDescent="0.3">
      <c r="A71">
        <v>40</v>
      </c>
      <c r="B71">
        <v>4</v>
      </c>
      <c r="C71" s="1">
        <v>90</v>
      </c>
      <c r="D71">
        <v>1.1499999999999999</v>
      </c>
      <c r="E71">
        <v>3</v>
      </c>
      <c r="F71">
        <v>3</v>
      </c>
      <c r="G71">
        <v>39.945</v>
      </c>
      <c r="H71">
        <v>0</v>
      </c>
      <c r="I71">
        <v>1</v>
      </c>
      <c r="J71" s="1">
        <v>2</v>
      </c>
      <c r="L71">
        <f t="shared" si="1"/>
        <v>0</v>
      </c>
    </row>
    <row r="72" spans="1:12" s="2" customFormat="1" x14ac:dyDescent="0.3">
      <c r="A72" s="2">
        <v>40</v>
      </c>
      <c r="B72" s="2">
        <v>4</v>
      </c>
      <c r="C72" s="3">
        <v>100</v>
      </c>
      <c r="D72" s="2">
        <v>1.1499999999999999</v>
      </c>
      <c r="E72" s="2">
        <v>2</v>
      </c>
      <c r="F72" s="2">
        <v>2</v>
      </c>
      <c r="G72" s="2">
        <v>0.35799999999999998</v>
      </c>
      <c r="H72" s="2">
        <v>0</v>
      </c>
      <c r="I72" s="2">
        <v>0</v>
      </c>
      <c r="J72" s="3">
        <v>1</v>
      </c>
      <c r="K72" s="5">
        <f>AVERAGE(G63:G72)</f>
        <v>23.991100000000003</v>
      </c>
      <c r="L72" s="2">
        <f t="shared" si="1"/>
        <v>0</v>
      </c>
    </row>
    <row r="73" spans="1:12" x14ac:dyDescent="0.3">
      <c r="A73">
        <v>40</v>
      </c>
      <c r="B73">
        <v>5</v>
      </c>
      <c r="C73" s="1">
        <v>10</v>
      </c>
      <c r="D73">
        <v>1.1499999999999999</v>
      </c>
      <c r="E73">
        <v>2</v>
      </c>
      <c r="F73">
        <v>2</v>
      </c>
      <c r="G73">
        <v>0.86899999999999999</v>
      </c>
      <c r="H73">
        <v>0</v>
      </c>
      <c r="I73">
        <v>3</v>
      </c>
      <c r="J73" s="1">
        <v>3</v>
      </c>
      <c r="L73">
        <f t="shared" si="1"/>
        <v>0</v>
      </c>
    </row>
    <row r="74" spans="1:12" x14ac:dyDescent="0.3">
      <c r="A74">
        <v>40</v>
      </c>
      <c r="B74">
        <v>5</v>
      </c>
      <c r="C74" s="1">
        <v>20</v>
      </c>
      <c r="D74">
        <v>1.1499999999999999</v>
      </c>
      <c r="E74">
        <v>2</v>
      </c>
      <c r="F74">
        <v>2</v>
      </c>
      <c r="G74">
        <v>0.621</v>
      </c>
      <c r="H74">
        <v>0</v>
      </c>
      <c r="I74">
        <v>2</v>
      </c>
      <c r="J74" s="1">
        <v>3</v>
      </c>
      <c r="L74">
        <f t="shared" si="1"/>
        <v>0</v>
      </c>
    </row>
    <row r="75" spans="1:12" x14ac:dyDescent="0.3">
      <c r="A75">
        <v>40</v>
      </c>
      <c r="B75">
        <v>5</v>
      </c>
      <c r="C75" s="1">
        <v>30</v>
      </c>
      <c r="D75">
        <v>1.1499999999999999</v>
      </c>
      <c r="E75">
        <v>2</v>
      </c>
      <c r="F75">
        <v>2</v>
      </c>
      <c r="G75">
        <v>0.20300000000000001</v>
      </c>
      <c r="H75">
        <v>0</v>
      </c>
      <c r="I75">
        <v>0</v>
      </c>
      <c r="J75" s="1">
        <v>1</v>
      </c>
      <c r="L75">
        <f t="shared" si="1"/>
        <v>0</v>
      </c>
    </row>
    <row r="76" spans="1:12" x14ac:dyDescent="0.3">
      <c r="A76">
        <v>40</v>
      </c>
      <c r="B76">
        <v>5</v>
      </c>
      <c r="C76" s="1">
        <v>40</v>
      </c>
      <c r="D76">
        <v>1.1499999999999999</v>
      </c>
      <c r="E76">
        <v>2</v>
      </c>
      <c r="F76">
        <v>2</v>
      </c>
      <c r="G76">
        <v>0.33800000000000002</v>
      </c>
      <c r="H76">
        <v>0</v>
      </c>
      <c r="I76">
        <v>0</v>
      </c>
      <c r="J76" s="1">
        <v>2</v>
      </c>
      <c r="L76">
        <f t="shared" si="1"/>
        <v>0</v>
      </c>
    </row>
    <row r="77" spans="1:12" x14ac:dyDescent="0.3">
      <c r="A77">
        <v>40</v>
      </c>
      <c r="B77">
        <v>5</v>
      </c>
      <c r="C77" s="1">
        <v>50</v>
      </c>
      <c r="D77">
        <v>1.1499999999999999</v>
      </c>
      <c r="E77">
        <v>2</v>
      </c>
      <c r="F77">
        <v>2</v>
      </c>
      <c r="G77">
        <v>2.1869999999999998</v>
      </c>
      <c r="H77">
        <v>0</v>
      </c>
      <c r="I77">
        <v>10</v>
      </c>
      <c r="J77" s="1">
        <v>7</v>
      </c>
      <c r="L77">
        <f t="shared" si="1"/>
        <v>0</v>
      </c>
    </row>
    <row r="78" spans="1:12" x14ac:dyDescent="0.3">
      <c r="A78">
        <v>40</v>
      </c>
      <c r="B78">
        <v>5</v>
      </c>
      <c r="C78" s="1">
        <v>60</v>
      </c>
      <c r="D78">
        <v>1.1499999999999999</v>
      </c>
      <c r="E78">
        <v>1</v>
      </c>
      <c r="F78">
        <v>1</v>
      </c>
      <c r="G78">
        <v>0.22</v>
      </c>
      <c r="H78">
        <v>0</v>
      </c>
      <c r="I78">
        <v>0</v>
      </c>
      <c r="J78" s="1">
        <v>1</v>
      </c>
      <c r="L78">
        <f t="shared" si="1"/>
        <v>0</v>
      </c>
    </row>
    <row r="79" spans="1:12" x14ac:dyDescent="0.3">
      <c r="A79">
        <v>40</v>
      </c>
      <c r="B79">
        <v>5</v>
      </c>
      <c r="C79" s="1">
        <v>70</v>
      </c>
      <c r="D79">
        <v>1.1499999999999999</v>
      </c>
      <c r="E79">
        <v>1</v>
      </c>
      <c r="F79">
        <v>1</v>
      </c>
      <c r="G79">
        <v>0.3</v>
      </c>
      <c r="H79">
        <v>0</v>
      </c>
      <c r="I79">
        <v>0</v>
      </c>
      <c r="J79" s="1">
        <v>1</v>
      </c>
      <c r="L79">
        <f t="shared" si="1"/>
        <v>0</v>
      </c>
    </row>
    <row r="80" spans="1:12" x14ac:dyDescent="0.3">
      <c r="A80">
        <v>40</v>
      </c>
      <c r="B80">
        <v>5</v>
      </c>
      <c r="C80" s="1">
        <v>80</v>
      </c>
      <c r="D80">
        <v>1.1499999999999999</v>
      </c>
      <c r="E80">
        <v>2</v>
      </c>
      <c r="F80">
        <v>2</v>
      </c>
      <c r="G80">
        <v>0.63700000000000001</v>
      </c>
      <c r="H80">
        <v>0</v>
      </c>
      <c r="I80">
        <v>1</v>
      </c>
      <c r="J80" s="1">
        <v>2</v>
      </c>
      <c r="L80">
        <f t="shared" si="1"/>
        <v>0</v>
      </c>
    </row>
    <row r="81" spans="1:12" x14ac:dyDescent="0.3">
      <c r="A81">
        <v>40</v>
      </c>
      <c r="B81">
        <v>5</v>
      </c>
      <c r="C81" s="1">
        <v>90</v>
      </c>
      <c r="D81">
        <v>1.1499999999999999</v>
      </c>
      <c r="E81">
        <v>2</v>
      </c>
      <c r="F81">
        <v>2</v>
      </c>
      <c r="G81">
        <v>1.974</v>
      </c>
      <c r="H81">
        <v>0</v>
      </c>
      <c r="I81">
        <v>8</v>
      </c>
      <c r="J81" s="1">
        <v>8</v>
      </c>
      <c r="L81">
        <f t="shared" si="1"/>
        <v>0</v>
      </c>
    </row>
    <row r="82" spans="1:12" s="2" customFormat="1" x14ac:dyDescent="0.3">
      <c r="A82" s="2">
        <v>40</v>
      </c>
      <c r="B82" s="2">
        <v>5</v>
      </c>
      <c r="C82" s="3">
        <v>100</v>
      </c>
      <c r="D82" s="2">
        <v>1.1499999999999999</v>
      </c>
      <c r="E82" s="2">
        <v>1</v>
      </c>
      <c r="F82" s="2">
        <v>1</v>
      </c>
      <c r="G82" s="2">
        <v>0.23100000000000001</v>
      </c>
      <c r="H82" s="2">
        <v>0</v>
      </c>
      <c r="I82" s="2">
        <v>0</v>
      </c>
      <c r="J82" s="3">
        <v>1</v>
      </c>
      <c r="K82" s="5">
        <f>AVERAGE(G73:G82)</f>
        <v>0.75800000000000001</v>
      </c>
      <c r="L82" s="2">
        <f t="shared" si="1"/>
        <v>0</v>
      </c>
    </row>
    <row r="83" spans="1:12" x14ac:dyDescent="0.3">
      <c r="A83">
        <v>50</v>
      </c>
      <c r="B83">
        <v>2</v>
      </c>
      <c r="C83" s="1">
        <v>10</v>
      </c>
      <c r="D83">
        <v>1.1499999999999999</v>
      </c>
      <c r="E83">
        <v>6</v>
      </c>
      <c r="F83">
        <v>6</v>
      </c>
      <c r="G83">
        <v>3.1709999999999998</v>
      </c>
      <c r="H83">
        <v>0</v>
      </c>
      <c r="I83">
        <v>0</v>
      </c>
      <c r="J83" s="1">
        <v>1</v>
      </c>
      <c r="L83">
        <f t="shared" si="1"/>
        <v>0</v>
      </c>
    </row>
    <row r="84" spans="1:12" x14ac:dyDescent="0.3">
      <c r="A84">
        <v>50</v>
      </c>
      <c r="B84">
        <v>2</v>
      </c>
      <c r="C84" s="1">
        <v>20</v>
      </c>
      <c r="D84">
        <v>1.1499999999999999</v>
      </c>
      <c r="E84">
        <v>5</v>
      </c>
      <c r="F84">
        <v>5</v>
      </c>
      <c r="G84">
        <v>1.083</v>
      </c>
      <c r="H84">
        <v>0</v>
      </c>
      <c r="I84">
        <v>0</v>
      </c>
      <c r="J84" s="1">
        <v>1</v>
      </c>
      <c r="L84">
        <f t="shared" si="1"/>
        <v>0</v>
      </c>
    </row>
    <row r="85" spans="1:12" x14ac:dyDescent="0.3">
      <c r="A85">
        <v>50</v>
      </c>
      <c r="B85">
        <v>2</v>
      </c>
      <c r="C85" s="1">
        <v>30</v>
      </c>
      <c r="D85">
        <v>1.1499999999999999</v>
      </c>
      <c r="E85">
        <v>5</v>
      </c>
      <c r="F85">
        <v>5</v>
      </c>
      <c r="G85">
        <v>1.4650000000000001</v>
      </c>
      <c r="H85">
        <v>0</v>
      </c>
      <c r="I85">
        <v>0</v>
      </c>
      <c r="J85" s="1">
        <v>1</v>
      </c>
      <c r="L85">
        <f t="shared" si="1"/>
        <v>0</v>
      </c>
    </row>
    <row r="86" spans="1:12" x14ac:dyDescent="0.3">
      <c r="A86">
        <v>50</v>
      </c>
      <c r="B86">
        <v>2</v>
      </c>
      <c r="C86" s="1">
        <v>40</v>
      </c>
      <c r="D86">
        <v>1.1499999999999999</v>
      </c>
      <c r="E86">
        <v>5</v>
      </c>
      <c r="F86">
        <v>5</v>
      </c>
      <c r="G86">
        <v>1.3049999999999999</v>
      </c>
      <c r="H86">
        <v>0</v>
      </c>
      <c r="I86">
        <v>0</v>
      </c>
      <c r="J86" s="1">
        <v>1</v>
      </c>
      <c r="L86">
        <f t="shared" si="1"/>
        <v>0</v>
      </c>
    </row>
    <row r="87" spans="1:12" x14ac:dyDescent="0.3">
      <c r="A87">
        <v>50</v>
      </c>
      <c r="B87">
        <v>2</v>
      </c>
      <c r="C87" s="1">
        <v>50</v>
      </c>
      <c r="D87">
        <v>1.1499999999999999</v>
      </c>
      <c r="E87">
        <v>5</v>
      </c>
      <c r="F87">
        <v>5</v>
      </c>
      <c r="G87">
        <v>1.165</v>
      </c>
      <c r="H87">
        <v>0</v>
      </c>
      <c r="I87">
        <v>0</v>
      </c>
      <c r="J87" s="1">
        <v>1</v>
      </c>
      <c r="L87">
        <f t="shared" si="1"/>
        <v>0</v>
      </c>
    </row>
    <row r="88" spans="1:12" x14ac:dyDescent="0.3">
      <c r="A88">
        <v>50</v>
      </c>
      <c r="B88">
        <v>2</v>
      </c>
      <c r="C88" s="1">
        <v>60</v>
      </c>
      <c r="D88">
        <v>1.1499999999999999</v>
      </c>
      <c r="E88">
        <v>5</v>
      </c>
      <c r="F88">
        <v>5</v>
      </c>
      <c r="G88">
        <v>0.97</v>
      </c>
      <c r="H88">
        <v>0</v>
      </c>
      <c r="I88">
        <v>0</v>
      </c>
      <c r="J88" s="1">
        <v>1</v>
      </c>
      <c r="L88">
        <f t="shared" si="1"/>
        <v>0</v>
      </c>
    </row>
    <row r="89" spans="1:12" x14ac:dyDescent="0.3">
      <c r="A89">
        <v>50</v>
      </c>
      <c r="B89">
        <v>2</v>
      </c>
      <c r="C89" s="1">
        <v>70</v>
      </c>
      <c r="D89">
        <v>1.1499999999999999</v>
      </c>
      <c r="E89">
        <v>5</v>
      </c>
      <c r="F89">
        <v>5</v>
      </c>
      <c r="G89">
        <v>1.47</v>
      </c>
      <c r="H89">
        <v>0</v>
      </c>
      <c r="I89">
        <v>0</v>
      </c>
      <c r="J89" s="1">
        <v>1</v>
      </c>
      <c r="L89">
        <f t="shared" si="1"/>
        <v>0</v>
      </c>
    </row>
    <row r="90" spans="1:12" x14ac:dyDescent="0.3">
      <c r="A90">
        <v>50</v>
      </c>
      <c r="B90">
        <v>2</v>
      </c>
      <c r="C90" s="1">
        <v>80</v>
      </c>
      <c r="D90">
        <v>1.1499999999999999</v>
      </c>
      <c r="E90">
        <v>5</v>
      </c>
      <c r="F90">
        <v>5</v>
      </c>
      <c r="G90">
        <v>1.25</v>
      </c>
      <c r="H90">
        <v>0</v>
      </c>
      <c r="I90">
        <v>0</v>
      </c>
      <c r="J90" s="1">
        <v>1</v>
      </c>
      <c r="L90">
        <f t="shared" si="1"/>
        <v>0</v>
      </c>
    </row>
    <row r="91" spans="1:12" x14ac:dyDescent="0.3">
      <c r="A91">
        <v>50</v>
      </c>
      <c r="B91">
        <v>2</v>
      </c>
      <c r="C91" s="1">
        <v>90</v>
      </c>
      <c r="D91">
        <v>1.1499999999999999</v>
      </c>
      <c r="E91">
        <v>6</v>
      </c>
      <c r="F91">
        <v>6</v>
      </c>
      <c r="G91">
        <v>1.7470000000000001</v>
      </c>
      <c r="H91">
        <v>0</v>
      </c>
      <c r="I91">
        <v>0</v>
      </c>
      <c r="J91" s="1">
        <v>1</v>
      </c>
      <c r="L91">
        <f t="shared" si="1"/>
        <v>0</v>
      </c>
    </row>
    <row r="92" spans="1:12" s="2" customFormat="1" x14ac:dyDescent="0.3">
      <c r="A92" s="2">
        <v>50</v>
      </c>
      <c r="B92" s="2">
        <v>2</v>
      </c>
      <c r="C92" s="3">
        <v>100</v>
      </c>
      <c r="D92" s="2">
        <v>1.1499999999999999</v>
      </c>
      <c r="E92" s="2">
        <v>5</v>
      </c>
      <c r="F92" s="2">
        <v>5</v>
      </c>
      <c r="G92" s="2">
        <v>1.1240000000000001</v>
      </c>
      <c r="H92" s="2">
        <v>0</v>
      </c>
      <c r="I92" s="2">
        <v>0</v>
      </c>
      <c r="J92" s="3">
        <v>1</v>
      </c>
      <c r="K92" s="5">
        <f>AVERAGE(G83:G92)</f>
        <v>1.4750000000000001</v>
      </c>
      <c r="L92" s="2">
        <f t="shared" si="1"/>
        <v>0</v>
      </c>
    </row>
    <row r="93" spans="1:12" x14ac:dyDescent="0.3">
      <c r="A93">
        <v>50</v>
      </c>
      <c r="B93">
        <v>3</v>
      </c>
      <c r="C93" s="1">
        <v>10</v>
      </c>
      <c r="D93">
        <v>1.1499999999999999</v>
      </c>
      <c r="E93">
        <v>4</v>
      </c>
      <c r="F93">
        <v>4</v>
      </c>
      <c r="G93">
        <v>0.92300000000000004</v>
      </c>
      <c r="H93">
        <v>0</v>
      </c>
      <c r="I93">
        <v>0</v>
      </c>
      <c r="J93" s="1">
        <v>1</v>
      </c>
      <c r="L93">
        <f t="shared" si="1"/>
        <v>0</v>
      </c>
    </row>
    <row r="94" spans="1:12" x14ac:dyDescent="0.3">
      <c r="A94">
        <v>50</v>
      </c>
      <c r="B94">
        <v>3</v>
      </c>
      <c r="C94" s="1">
        <v>20</v>
      </c>
      <c r="D94">
        <v>1.1499999999999999</v>
      </c>
      <c r="E94">
        <v>4</v>
      </c>
      <c r="F94">
        <v>4</v>
      </c>
      <c r="G94">
        <v>0.8</v>
      </c>
      <c r="H94">
        <v>0</v>
      </c>
      <c r="I94">
        <v>0</v>
      </c>
      <c r="J94" s="1">
        <v>1</v>
      </c>
      <c r="L94">
        <f t="shared" si="1"/>
        <v>0</v>
      </c>
    </row>
    <row r="95" spans="1:12" x14ac:dyDescent="0.3">
      <c r="A95">
        <v>50</v>
      </c>
      <c r="B95">
        <v>3</v>
      </c>
      <c r="C95" s="1">
        <v>30</v>
      </c>
      <c r="D95">
        <v>1.1499999999999999</v>
      </c>
      <c r="E95">
        <v>4</v>
      </c>
      <c r="F95">
        <v>4</v>
      </c>
      <c r="G95">
        <v>1.292</v>
      </c>
      <c r="H95">
        <v>0</v>
      </c>
      <c r="I95">
        <v>0</v>
      </c>
      <c r="J95" s="1">
        <v>1</v>
      </c>
      <c r="L95">
        <f t="shared" si="1"/>
        <v>0</v>
      </c>
    </row>
    <row r="96" spans="1:12" x14ac:dyDescent="0.3">
      <c r="A96">
        <v>50</v>
      </c>
      <c r="B96">
        <v>3</v>
      </c>
      <c r="C96" s="1">
        <v>40</v>
      </c>
      <c r="D96">
        <v>1.1499999999999999</v>
      </c>
      <c r="E96">
        <v>4</v>
      </c>
      <c r="F96">
        <v>4</v>
      </c>
      <c r="G96">
        <v>0.92500000000000004</v>
      </c>
      <c r="H96">
        <v>0</v>
      </c>
      <c r="I96">
        <v>0</v>
      </c>
      <c r="J96" s="1">
        <v>1</v>
      </c>
      <c r="L96">
        <f t="shared" si="1"/>
        <v>0</v>
      </c>
    </row>
    <row r="97" spans="1:12" x14ac:dyDescent="0.3">
      <c r="A97">
        <v>50</v>
      </c>
      <c r="B97">
        <v>3</v>
      </c>
      <c r="C97" s="1">
        <v>50</v>
      </c>
      <c r="D97">
        <v>1.1499999999999999</v>
      </c>
      <c r="E97">
        <v>4</v>
      </c>
      <c r="F97">
        <v>4</v>
      </c>
      <c r="G97">
        <v>0.89</v>
      </c>
      <c r="H97">
        <v>0</v>
      </c>
      <c r="I97">
        <v>0</v>
      </c>
      <c r="J97" s="1">
        <v>1</v>
      </c>
      <c r="L97">
        <f t="shared" si="1"/>
        <v>0</v>
      </c>
    </row>
    <row r="98" spans="1:12" x14ac:dyDescent="0.3">
      <c r="A98">
        <v>50</v>
      </c>
      <c r="B98">
        <v>3</v>
      </c>
      <c r="C98" s="1">
        <v>60</v>
      </c>
      <c r="D98">
        <v>1.1499999999999999</v>
      </c>
      <c r="E98">
        <v>4</v>
      </c>
      <c r="F98">
        <v>4</v>
      </c>
      <c r="G98">
        <v>0.81799999999999995</v>
      </c>
      <c r="H98">
        <v>0</v>
      </c>
      <c r="I98">
        <v>0</v>
      </c>
      <c r="J98" s="1">
        <v>1</v>
      </c>
      <c r="L98">
        <f t="shared" si="1"/>
        <v>0</v>
      </c>
    </row>
    <row r="99" spans="1:12" x14ac:dyDescent="0.3">
      <c r="A99">
        <v>50</v>
      </c>
      <c r="B99">
        <v>3</v>
      </c>
      <c r="C99" s="1">
        <v>70</v>
      </c>
      <c r="D99">
        <v>1.1499999999999999</v>
      </c>
      <c r="E99">
        <v>4</v>
      </c>
      <c r="F99">
        <v>4</v>
      </c>
      <c r="G99">
        <v>1.22</v>
      </c>
      <c r="H99">
        <v>0</v>
      </c>
      <c r="I99">
        <v>0</v>
      </c>
      <c r="J99" s="1">
        <v>1</v>
      </c>
      <c r="L99">
        <f t="shared" si="1"/>
        <v>0</v>
      </c>
    </row>
    <row r="100" spans="1:12" x14ac:dyDescent="0.3">
      <c r="A100">
        <v>50</v>
      </c>
      <c r="B100">
        <v>3</v>
      </c>
      <c r="C100" s="1">
        <v>80</v>
      </c>
      <c r="D100">
        <v>1.1499999999999999</v>
      </c>
      <c r="E100">
        <v>4</v>
      </c>
      <c r="F100">
        <v>4</v>
      </c>
      <c r="G100">
        <v>0.99399999999999999</v>
      </c>
      <c r="H100">
        <v>0</v>
      </c>
      <c r="I100">
        <v>0</v>
      </c>
      <c r="J100" s="1">
        <v>1</v>
      </c>
      <c r="L100">
        <f t="shared" si="1"/>
        <v>0</v>
      </c>
    </row>
    <row r="101" spans="1:12" x14ac:dyDescent="0.3">
      <c r="A101">
        <v>50</v>
      </c>
      <c r="B101">
        <v>3</v>
      </c>
      <c r="C101" s="1">
        <v>90</v>
      </c>
      <c r="D101">
        <v>1.1499999999999999</v>
      </c>
      <c r="E101">
        <v>4</v>
      </c>
      <c r="F101">
        <v>4</v>
      </c>
      <c r="G101">
        <v>0.77500000000000002</v>
      </c>
      <c r="H101">
        <v>0</v>
      </c>
      <c r="I101">
        <v>0</v>
      </c>
      <c r="J101" s="1">
        <v>1</v>
      </c>
      <c r="L101">
        <f t="shared" si="1"/>
        <v>0</v>
      </c>
    </row>
    <row r="102" spans="1:12" s="2" customFormat="1" x14ac:dyDescent="0.3">
      <c r="A102" s="2">
        <v>50</v>
      </c>
      <c r="B102" s="2">
        <v>3</v>
      </c>
      <c r="C102" s="3">
        <v>100</v>
      </c>
      <c r="D102" s="2">
        <v>1.1499999999999999</v>
      </c>
      <c r="E102" s="2">
        <v>4</v>
      </c>
      <c r="F102" s="2">
        <v>4</v>
      </c>
      <c r="G102" s="2">
        <v>0.79700000000000004</v>
      </c>
      <c r="H102" s="2">
        <v>0</v>
      </c>
      <c r="I102" s="2">
        <v>0</v>
      </c>
      <c r="J102" s="3">
        <v>1</v>
      </c>
      <c r="K102" s="5">
        <f>AVERAGE(G93:G102)</f>
        <v>0.94339999999999991</v>
      </c>
      <c r="L102" s="2">
        <f t="shared" si="1"/>
        <v>0</v>
      </c>
    </row>
    <row r="103" spans="1:12" x14ac:dyDescent="0.3">
      <c r="A103">
        <v>50</v>
      </c>
      <c r="B103">
        <v>4</v>
      </c>
      <c r="C103" s="1">
        <v>10</v>
      </c>
      <c r="D103">
        <v>1.1499999999999999</v>
      </c>
      <c r="E103">
        <v>3</v>
      </c>
      <c r="F103">
        <v>3</v>
      </c>
      <c r="G103">
        <v>0.752</v>
      </c>
      <c r="H103">
        <v>0</v>
      </c>
      <c r="I103">
        <v>0</v>
      </c>
      <c r="J103" s="1">
        <v>1</v>
      </c>
      <c r="L103">
        <f t="shared" si="1"/>
        <v>0</v>
      </c>
    </row>
    <row r="104" spans="1:12" x14ac:dyDescent="0.3">
      <c r="A104">
        <v>50</v>
      </c>
      <c r="B104">
        <v>4</v>
      </c>
      <c r="C104" s="1">
        <v>20</v>
      </c>
      <c r="D104">
        <v>1.1499999999999999</v>
      </c>
      <c r="E104">
        <v>3</v>
      </c>
      <c r="F104">
        <v>3</v>
      </c>
      <c r="G104">
        <v>0.67300000000000004</v>
      </c>
      <c r="H104">
        <v>0</v>
      </c>
      <c r="I104">
        <v>0</v>
      </c>
      <c r="J104" s="1">
        <v>1</v>
      </c>
      <c r="L104">
        <f t="shared" si="1"/>
        <v>0</v>
      </c>
    </row>
    <row r="105" spans="1:12" x14ac:dyDescent="0.3">
      <c r="A105">
        <v>50</v>
      </c>
      <c r="B105">
        <v>4</v>
      </c>
      <c r="C105" s="1">
        <v>30</v>
      </c>
      <c r="D105">
        <v>1.1499999999999999</v>
      </c>
      <c r="E105">
        <v>3</v>
      </c>
      <c r="F105">
        <v>3</v>
      </c>
      <c r="G105">
        <v>0.83799999999999997</v>
      </c>
      <c r="H105">
        <v>0</v>
      </c>
      <c r="I105">
        <v>0</v>
      </c>
      <c r="J105" s="1">
        <v>1</v>
      </c>
      <c r="L105">
        <f t="shared" si="1"/>
        <v>0</v>
      </c>
    </row>
    <row r="106" spans="1:12" x14ac:dyDescent="0.3">
      <c r="A106">
        <v>50</v>
      </c>
      <c r="B106">
        <v>4</v>
      </c>
      <c r="C106" s="1">
        <v>40</v>
      </c>
      <c r="D106">
        <v>1.1499999999999999</v>
      </c>
      <c r="E106">
        <v>3</v>
      </c>
      <c r="F106">
        <v>3</v>
      </c>
      <c r="G106">
        <v>0.84099999999999997</v>
      </c>
      <c r="H106">
        <v>0</v>
      </c>
      <c r="I106">
        <v>0</v>
      </c>
      <c r="J106" s="1">
        <v>1</v>
      </c>
      <c r="L106">
        <f t="shared" si="1"/>
        <v>0</v>
      </c>
    </row>
    <row r="107" spans="1:12" x14ac:dyDescent="0.3">
      <c r="A107">
        <v>50</v>
      </c>
      <c r="B107">
        <v>4</v>
      </c>
      <c r="C107" s="1">
        <v>50</v>
      </c>
      <c r="D107">
        <v>1.1499999999999999</v>
      </c>
      <c r="E107">
        <v>3</v>
      </c>
      <c r="F107">
        <v>3</v>
      </c>
      <c r="G107">
        <v>0.71099999999999997</v>
      </c>
      <c r="H107">
        <v>0</v>
      </c>
      <c r="I107">
        <v>0</v>
      </c>
      <c r="J107" s="1">
        <v>1</v>
      </c>
      <c r="L107">
        <f t="shared" si="1"/>
        <v>0</v>
      </c>
    </row>
    <row r="108" spans="1:12" x14ac:dyDescent="0.3">
      <c r="A108">
        <v>50</v>
      </c>
      <c r="B108">
        <v>4</v>
      </c>
      <c r="C108" s="1">
        <v>60</v>
      </c>
      <c r="D108">
        <v>1.1499999999999999</v>
      </c>
      <c r="E108">
        <v>3</v>
      </c>
      <c r="F108">
        <v>3</v>
      </c>
      <c r="G108">
        <v>0.63900000000000001</v>
      </c>
      <c r="H108">
        <v>0</v>
      </c>
      <c r="I108">
        <v>0</v>
      </c>
      <c r="J108" s="1">
        <v>1</v>
      </c>
      <c r="L108">
        <f t="shared" si="1"/>
        <v>0</v>
      </c>
    </row>
    <row r="109" spans="1:12" x14ac:dyDescent="0.3">
      <c r="A109">
        <v>50</v>
      </c>
      <c r="B109">
        <v>4</v>
      </c>
      <c r="C109" s="1">
        <v>70</v>
      </c>
      <c r="D109">
        <v>1.1499999999999999</v>
      </c>
      <c r="E109">
        <v>3</v>
      </c>
      <c r="F109">
        <v>3</v>
      </c>
      <c r="G109">
        <v>0.871</v>
      </c>
      <c r="H109">
        <v>0</v>
      </c>
      <c r="I109">
        <v>0</v>
      </c>
      <c r="J109" s="1">
        <v>1</v>
      </c>
      <c r="L109">
        <f t="shared" si="1"/>
        <v>0</v>
      </c>
    </row>
    <row r="110" spans="1:12" x14ac:dyDescent="0.3">
      <c r="A110">
        <v>50</v>
      </c>
      <c r="B110">
        <v>4</v>
      </c>
      <c r="C110" s="1">
        <v>80</v>
      </c>
      <c r="D110">
        <v>1.1499999999999999</v>
      </c>
      <c r="E110">
        <v>3</v>
      </c>
      <c r="F110">
        <v>3</v>
      </c>
      <c r="G110">
        <v>0.73399999999999999</v>
      </c>
      <c r="H110">
        <v>0</v>
      </c>
      <c r="I110">
        <v>0</v>
      </c>
      <c r="J110" s="1">
        <v>1</v>
      </c>
      <c r="L110">
        <f t="shared" si="1"/>
        <v>0</v>
      </c>
    </row>
    <row r="111" spans="1:12" x14ac:dyDescent="0.3">
      <c r="A111">
        <v>50</v>
      </c>
      <c r="B111">
        <v>4</v>
      </c>
      <c r="C111" s="1">
        <v>90</v>
      </c>
      <c r="D111">
        <v>1.1499999999999999</v>
      </c>
      <c r="E111">
        <v>3</v>
      </c>
      <c r="F111">
        <v>3</v>
      </c>
      <c r="G111">
        <v>0.67100000000000004</v>
      </c>
      <c r="H111">
        <v>0</v>
      </c>
      <c r="I111">
        <v>0</v>
      </c>
      <c r="J111" s="1">
        <v>1</v>
      </c>
      <c r="L111">
        <f t="shared" si="1"/>
        <v>0</v>
      </c>
    </row>
    <row r="112" spans="1:12" s="2" customFormat="1" x14ac:dyDescent="0.3">
      <c r="A112" s="2">
        <v>50</v>
      </c>
      <c r="B112" s="2">
        <v>4</v>
      </c>
      <c r="C112" s="3">
        <v>100</v>
      </c>
      <c r="D112" s="2">
        <v>1.1499999999999999</v>
      </c>
      <c r="E112" s="2">
        <v>3</v>
      </c>
      <c r="F112" s="2">
        <v>3</v>
      </c>
      <c r="G112" s="2">
        <v>0.81200000000000006</v>
      </c>
      <c r="H112" s="2">
        <v>0</v>
      </c>
      <c r="I112" s="2">
        <v>0</v>
      </c>
      <c r="J112" s="3">
        <v>1</v>
      </c>
      <c r="K112" s="5">
        <f>AVERAGE(G103:G112)</f>
        <v>0.75419999999999998</v>
      </c>
      <c r="L112" s="2">
        <f t="shared" si="1"/>
        <v>0</v>
      </c>
    </row>
    <row r="113" spans="1:12" x14ac:dyDescent="0.3">
      <c r="A113">
        <v>50</v>
      </c>
      <c r="B113">
        <v>5</v>
      </c>
      <c r="C113" s="1">
        <v>10</v>
      </c>
      <c r="D113">
        <v>1.1499999999999999</v>
      </c>
      <c r="E113">
        <v>4</v>
      </c>
      <c r="F113">
        <v>4</v>
      </c>
      <c r="G113">
        <v>1022.301</v>
      </c>
      <c r="H113">
        <v>0</v>
      </c>
      <c r="I113">
        <v>38</v>
      </c>
      <c r="J113" s="1">
        <v>11</v>
      </c>
      <c r="L113">
        <f t="shared" si="1"/>
        <v>0</v>
      </c>
    </row>
    <row r="114" spans="1:12" x14ac:dyDescent="0.3">
      <c r="A114">
        <v>50</v>
      </c>
      <c r="B114">
        <v>5</v>
      </c>
      <c r="C114" s="1">
        <v>20</v>
      </c>
      <c r="D114">
        <v>1.1499999999999999</v>
      </c>
      <c r="E114">
        <v>2</v>
      </c>
      <c r="F114">
        <v>2</v>
      </c>
      <c r="G114">
        <v>0.626</v>
      </c>
      <c r="H114">
        <v>0</v>
      </c>
      <c r="I114">
        <v>0</v>
      </c>
      <c r="J114" s="1">
        <v>1</v>
      </c>
      <c r="L114">
        <f t="shared" si="1"/>
        <v>0</v>
      </c>
    </row>
    <row r="115" spans="1:12" x14ac:dyDescent="0.3">
      <c r="A115">
        <v>50</v>
      </c>
      <c r="B115">
        <v>5</v>
      </c>
      <c r="C115" s="1">
        <v>30</v>
      </c>
      <c r="D115">
        <v>1.1499999999999999</v>
      </c>
      <c r="E115">
        <v>2</v>
      </c>
      <c r="F115">
        <v>2</v>
      </c>
      <c r="G115">
        <v>0.69599999999999995</v>
      </c>
      <c r="H115">
        <v>0</v>
      </c>
      <c r="I115">
        <v>0</v>
      </c>
      <c r="J115" s="1">
        <v>1</v>
      </c>
      <c r="L115">
        <f t="shared" si="1"/>
        <v>0</v>
      </c>
    </row>
    <row r="116" spans="1:12" x14ac:dyDescent="0.3">
      <c r="A116">
        <v>50</v>
      </c>
      <c r="B116">
        <v>5</v>
      </c>
      <c r="C116" s="1">
        <v>40</v>
      </c>
      <c r="D116">
        <v>1.1499999999999999</v>
      </c>
      <c r="E116">
        <v>3</v>
      </c>
      <c r="F116">
        <v>3</v>
      </c>
      <c r="G116">
        <v>0.57499999999999996</v>
      </c>
      <c r="H116">
        <v>0</v>
      </c>
      <c r="I116">
        <v>0</v>
      </c>
      <c r="J116" s="1">
        <v>1</v>
      </c>
      <c r="L116">
        <f t="shared" si="1"/>
        <v>0</v>
      </c>
    </row>
    <row r="117" spans="1:12" x14ac:dyDescent="0.3">
      <c r="A117">
        <v>50</v>
      </c>
      <c r="B117">
        <v>5</v>
      </c>
      <c r="C117" s="1">
        <v>50</v>
      </c>
      <c r="D117">
        <v>1.1499999999999999</v>
      </c>
      <c r="E117">
        <v>2</v>
      </c>
      <c r="F117">
        <v>2</v>
      </c>
      <c r="G117">
        <v>0.54200000000000004</v>
      </c>
      <c r="H117">
        <v>0</v>
      </c>
      <c r="I117">
        <v>0</v>
      </c>
      <c r="J117" s="1">
        <v>1</v>
      </c>
      <c r="L117">
        <f t="shared" si="1"/>
        <v>0</v>
      </c>
    </row>
    <row r="118" spans="1:12" x14ac:dyDescent="0.3">
      <c r="A118">
        <v>50</v>
      </c>
      <c r="B118">
        <v>5</v>
      </c>
      <c r="C118" s="1">
        <v>60</v>
      </c>
      <c r="D118">
        <v>1.1499999999999999</v>
      </c>
      <c r="E118">
        <v>2</v>
      </c>
      <c r="F118">
        <v>2</v>
      </c>
      <c r="G118">
        <v>0.70899999999999996</v>
      </c>
      <c r="H118">
        <v>0</v>
      </c>
      <c r="I118">
        <v>0</v>
      </c>
      <c r="J118" s="1">
        <v>1</v>
      </c>
      <c r="L118">
        <f t="shared" si="1"/>
        <v>0</v>
      </c>
    </row>
    <row r="119" spans="1:12" x14ac:dyDescent="0.3">
      <c r="A119">
        <v>50</v>
      </c>
      <c r="B119">
        <v>5</v>
      </c>
      <c r="C119" s="1">
        <v>70</v>
      </c>
      <c r="D119">
        <v>1.1499999999999999</v>
      </c>
      <c r="E119">
        <v>2</v>
      </c>
      <c r="F119">
        <v>2</v>
      </c>
      <c r="G119">
        <v>0.76500000000000001</v>
      </c>
      <c r="H119">
        <v>0</v>
      </c>
      <c r="I119">
        <v>0</v>
      </c>
      <c r="J119" s="1">
        <v>1</v>
      </c>
      <c r="L119">
        <f t="shared" si="1"/>
        <v>0</v>
      </c>
    </row>
    <row r="120" spans="1:12" x14ac:dyDescent="0.3">
      <c r="A120">
        <v>50</v>
      </c>
      <c r="B120">
        <v>5</v>
      </c>
      <c r="C120" s="1">
        <v>80</v>
      </c>
      <c r="D120">
        <v>1.1499999999999999</v>
      </c>
      <c r="E120">
        <v>2</v>
      </c>
      <c r="F120">
        <v>2</v>
      </c>
      <c r="G120">
        <v>0.57699999999999996</v>
      </c>
      <c r="H120">
        <v>0</v>
      </c>
      <c r="I120">
        <v>0</v>
      </c>
      <c r="J120" s="1">
        <v>1</v>
      </c>
      <c r="L120">
        <f t="shared" si="1"/>
        <v>0</v>
      </c>
    </row>
    <row r="121" spans="1:12" x14ac:dyDescent="0.3">
      <c r="A121">
        <v>50</v>
      </c>
      <c r="B121">
        <v>5</v>
      </c>
      <c r="C121" s="1">
        <v>90</v>
      </c>
      <c r="D121">
        <v>1.1499999999999999</v>
      </c>
      <c r="E121">
        <v>3</v>
      </c>
      <c r="F121">
        <v>3</v>
      </c>
      <c r="G121">
        <v>1.228</v>
      </c>
      <c r="H121">
        <v>0</v>
      </c>
      <c r="I121">
        <v>2</v>
      </c>
      <c r="J121" s="1">
        <v>2</v>
      </c>
      <c r="L121">
        <f t="shared" si="1"/>
        <v>0</v>
      </c>
    </row>
    <row r="122" spans="1:12" s="2" customFormat="1" x14ac:dyDescent="0.3">
      <c r="A122" s="2">
        <v>50</v>
      </c>
      <c r="B122" s="2">
        <v>5</v>
      </c>
      <c r="C122" s="3">
        <v>100</v>
      </c>
      <c r="D122" s="2">
        <v>1.1499999999999999</v>
      </c>
      <c r="E122" s="2">
        <v>2</v>
      </c>
      <c r="F122" s="2">
        <v>2</v>
      </c>
      <c r="G122" s="2">
        <v>0.48199999999999998</v>
      </c>
      <c r="H122" s="2">
        <v>0</v>
      </c>
      <c r="I122" s="2">
        <v>0</v>
      </c>
      <c r="J122" s="3">
        <v>1</v>
      </c>
      <c r="K122" s="5">
        <f>AVERAGE(G113:G122)</f>
        <v>102.85010000000003</v>
      </c>
      <c r="L122" s="2">
        <f t="shared" si="1"/>
        <v>0</v>
      </c>
    </row>
    <row r="123" spans="1:12" x14ac:dyDescent="0.3">
      <c r="A123">
        <v>60</v>
      </c>
      <c r="B123">
        <v>2</v>
      </c>
      <c r="C123" s="1">
        <v>10</v>
      </c>
      <c r="D123">
        <v>1.1499999999999999</v>
      </c>
      <c r="E123">
        <v>6</v>
      </c>
      <c r="F123">
        <v>6</v>
      </c>
      <c r="G123">
        <v>2.9620000000000002</v>
      </c>
      <c r="H123">
        <v>0</v>
      </c>
      <c r="I123">
        <v>0</v>
      </c>
      <c r="J123" s="1">
        <v>1</v>
      </c>
      <c r="L123">
        <f t="shared" si="1"/>
        <v>0</v>
      </c>
    </row>
    <row r="124" spans="1:12" x14ac:dyDescent="0.3">
      <c r="A124">
        <v>60</v>
      </c>
      <c r="B124">
        <v>2</v>
      </c>
      <c r="C124" s="1">
        <v>20</v>
      </c>
      <c r="D124">
        <v>1.1499999999999999</v>
      </c>
      <c r="E124">
        <v>6</v>
      </c>
      <c r="F124">
        <v>6</v>
      </c>
      <c r="G124">
        <v>3.0670000000000002</v>
      </c>
      <c r="H124">
        <v>0</v>
      </c>
      <c r="I124">
        <v>0</v>
      </c>
      <c r="J124" s="1">
        <v>1</v>
      </c>
      <c r="L124">
        <f t="shared" si="1"/>
        <v>0</v>
      </c>
    </row>
    <row r="125" spans="1:12" x14ac:dyDescent="0.3">
      <c r="A125">
        <v>60</v>
      </c>
      <c r="B125">
        <v>2</v>
      </c>
      <c r="C125" s="1">
        <v>30</v>
      </c>
      <c r="D125">
        <v>1.1499999999999999</v>
      </c>
      <c r="E125">
        <v>6</v>
      </c>
      <c r="F125">
        <v>6</v>
      </c>
      <c r="G125">
        <v>4.2770000000000001</v>
      </c>
      <c r="H125">
        <v>0</v>
      </c>
      <c r="I125">
        <v>0</v>
      </c>
      <c r="J125" s="1">
        <v>1</v>
      </c>
      <c r="L125">
        <f t="shared" si="1"/>
        <v>0</v>
      </c>
    </row>
    <row r="126" spans="1:12" x14ac:dyDescent="0.3">
      <c r="A126">
        <v>60</v>
      </c>
      <c r="B126">
        <v>2</v>
      </c>
      <c r="C126" s="1">
        <v>40</v>
      </c>
      <c r="D126">
        <v>1.1499999999999999</v>
      </c>
      <c r="E126">
        <v>6</v>
      </c>
      <c r="F126">
        <v>6</v>
      </c>
      <c r="G126">
        <v>3.1320000000000001</v>
      </c>
      <c r="H126">
        <v>0</v>
      </c>
      <c r="I126">
        <v>0</v>
      </c>
      <c r="J126" s="1">
        <v>1</v>
      </c>
      <c r="L126">
        <f t="shared" si="1"/>
        <v>0</v>
      </c>
    </row>
    <row r="127" spans="1:12" x14ac:dyDescent="0.3">
      <c r="A127">
        <v>60</v>
      </c>
      <c r="B127">
        <v>2</v>
      </c>
      <c r="C127" s="1">
        <v>50</v>
      </c>
      <c r="D127">
        <v>1.1499999999999999</v>
      </c>
      <c r="E127">
        <v>7</v>
      </c>
      <c r="F127">
        <v>7</v>
      </c>
      <c r="G127">
        <v>186.273</v>
      </c>
      <c r="H127">
        <v>0</v>
      </c>
      <c r="I127">
        <v>0</v>
      </c>
      <c r="J127" s="1">
        <v>2</v>
      </c>
      <c r="L127">
        <f t="shared" si="1"/>
        <v>0</v>
      </c>
    </row>
    <row r="128" spans="1:12" x14ac:dyDescent="0.3">
      <c r="A128">
        <v>60</v>
      </c>
      <c r="B128">
        <v>2</v>
      </c>
      <c r="C128" s="1">
        <v>60</v>
      </c>
      <c r="D128">
        <v>1.1499999999999999</v>
      </c>
      <c r="E128">
        <v>6</v>
      </c>
      <c r="F128">
        <v>6</v>
      </c>
      <c r="G128">
        <v>2.8969999999999998</v>
      </c>
      <c r="H128">
        <v>0</v>
      </c>
      <c r="I128">
        <v>0</v>
      </c>
      <c r="J128" s="1">
        <v>1</v>
      </c>
      <c r="L128">
        <f t="shared" si="1"/>
        <v>0</v>
      </c>
    </row>
    <row r="129" spans="1:12" x14ac:dyDescent="0.3">
      <c r="A129">
        <v>60</v>
      </c>
      <c r="B129">
        <v>2</v>
      </c>
      <c r="C129" s="1">
        <v>70</v>
      </c>
      <c r="D129">
        <v>1.1499999999999999</v>
      </c>
      <c r="E129">
        <v>6</v>
      </c>
      <c r="F129">
        <v>6</v>
      </c>
      <c r="G129">
        <v>3.5630000000000002</v>
      </c>
      <c r="H129">
        <v>0</v>
      </c>
      <c r="I129">
        <v>0</v>
      </c>
      <c r="J129" s="1">
        <v>1</v>
      </c>
      <c r="L129">
        <f t="shared" si="1"/>
        <v>0</v>
      </c>
    </row>
    <row r="130" spans="1:12" x14ac:dyDescent="0.3">
      <c r="A130">
        <v>60</v>
      </c>
      <c r="B130">
        <v>2</v>
      </c>
      <c r="C130" s="1">
        <v>80</v>
      </c>
      <c r="D130">
        <v>1.1499999999999999</v>
      </c>
      <c r="E130">
        <v>6</v>
      </c>
      <c r="F130">
        <v>6</v>
      </c>
      <c r="G130">
        <v>3.4620000000000002</v>
      </c>
      <c r="H130">
        <v>0</v>
      </c>
      <c r="I130">
        <v>0</v>
      </c>
      <c r="J130" s="1">
        <v>1</v>
      </c>
      <c r="L130">
        <f t="shared" si="1"/>
        <v>0</v>
      </c>
    </row>
    <row r="131" spans="1:12" x14ac:dyDescent="0.3">
      <c r="A131">
        <v>60</v>
      </c>
      <c r="B131">
        <v>2</v>
      </c>
      <c r="C131" s="1">
        <v>90</v>
      </c>
      <c r="D131">
        <v>1.1499999999999999</v>
      </c>
      <c r="E131">
        <v>6</v>
      </c>
      <c r="F131">
        <v>6</v>
      </c>
      <c r="G131">
        <v>3.23</v>
      </c>
      <c r="H131">
        <v>0</v>
      </c>
      <c r="I131">
        <v>0</v>
      </c>
      <c r="J131" s="1">
        <v>1</v>
      </c>
      <c r="L131">
        <f t="shared" ref="L131:L194" si="2">IF(ISBLANK(E131),IF(ISBLANK(F131),"",100), IF(E131+F131=0, 0, IF(G131=3600, IF(E131=F131,1,(E131-F131)/E131*100), 0)))</f>
        <v>0</v>
      </c>
    </row>
    <row r="132" spans="1:12" s="2" customFormat="1" x14ac:dyDescent="0.3">
      <c r="A132" s="2">
        <v>60</v>
      </c>
      <c r="B132" s="2">
        <v>2</v>
      </c>
      <c r="C132" s="3">
        <v>100</v>
      </c>
      <c r="D132" s="2">
        <v>1.1499999999999999</v>
      </c>
      <c r="E132" s="2">
        <v>6</v>
      </c>
      <c r="F132" s="2">
        <v>6</v>
      </c>
      <c r="G132" s="2">
        <v>3.1840000000000002</v>
      </c>
      <c r="H132" s="2">
        <v>0</v>
      </c>
      <c r="I132" s="2">
        <v>0</v>
      </c>
      <c r="J132" s="3">
        <v>1</v>
      </c>
      <c r="K132" s="5">
        <f>AVERAGE(G123:G132)</f>
        <v>21.604699999999994</v>
      </c>
      <c r="L132" s="2">
        <f t="shared" si="2"/>
        <v>0</v>
      </c>
    </row>
    <row r="133" spans="1:12" x14ac:dyDescent="0.3">
      <c r="A133">
        <v>60</v>
      </c>
      <c r="B133">
        <v>3</v>
      </c>
      <c r="C133" s="1">
        <v>10</v>
      </c>
      <c r="D133">
        <v>1.1499999999999999</v>
      </c>
      <c r="E133">
        <v>5</v>
      </c>
      <c r="F133">
        <v>5</v>
      </c>
      <c r="G133">
        <v>1.8540000000000001</v>
      </c>
      <c r="H133">
        <v>0</v>
      </c>
      <c r="I133">
        <v>0</v>
      </c>
      <c r="J133" s="1">
        <v>1</v>
      </c>
      <c r="L133">
        <f t="shared" si="2"/>
        <v>0</v>
      </c>
    </row>
    <row r="134" spans="1:12" x14ac:dyDescent="0.3">
      <c r="A134">
        <v>60</v>
      </c>
      <c r="B134">
        <v>3</v>
      </c>
      <c r="C134" s="1">
        <v>20</v>
      </c>
      <c r="D134">
        <v>1.1499999999999999</v>
      </c>
      <c r="E134">
        <v>5</v>
      </c>
      <c r="F134">
        <v>5</v>
      </c>
      <c r="G134">
        <v>3.0619999999999998</v>
      </c>
      <c r="H134">
        <v>0</v>
      </c>
      <c r="I134">
        <v>0</v>
      </c>
      <c r="J134" s="1">
        <v>1</v>
      </c>
      <c r="L134">
        <f t="shared" si="2"/>
        <v>0</v>
      </c>
    </row>
    <row r="135" spans="1:12" x14ac:dyDescent="0.3">
      <c r="A135">
        <v>60</v>
      </c>
      <c r="B135">
        <v>3</v>
      </c>
      <c r="C135" s="1">
        <v>30</v>
      </c>
      <c r="D135">
        <v>1.1499999999999999</v>
      </c>
      <c r="E135">
        <v>5</v>
      </c>
      <c r="F135">
        <v>5</v>
      </c>
      <c r="G135">
        <v>2.6560000000000001</v>
      </c>
      <c r="H135">
        <v>0</v>
      </c>
      <c r="I135">
        <v>0</v>
      </c>
      <c r="J135" s="1">
        <v>1</v>
      </c>
      <c r="L135">
        <f t="shared" si="2"/>
        <v>0</v>
      </c>
    </row>
    <row r="136" spans="1:12" x14ac:dyDescent="0.3">
      <c r="A136">
        <v>60</v>
      </c>
      <c r="B136">
        <v>3</v>
      </c>
      <c r="C136" s="1">
        <v>40</v>
      </c>
      <c r="D136">
        <v>1.1499999999999999</v>
      </c>
      <c r="E136">
        <v>5</v>
      </c>
      <c r="F136">
        <v>5</v>
      </c>
      <c r="G136">
        <v>2.4990000000000001</v>
      </c>
      <c r="H136">
        <v>0</v>
      </c>
      <c r="I136">
        <v>0</v>
      </c>
      <c r="J136" s="1">
        <v>1</v>
      </c>
      <c r="L136">
        <f t="shared" si="2"/>
        <v>0</v>
      </c>
    </row>
    <row r="137" spans="1:12" x14ac:dyDescent="0.3">
      <c r="A137">
        <v>60</v>
      </c>
      <c r="B137">
        <v>3</v>
      </c>
      <c r="C137" s="1">
        <v>50</v>
      </c>
      <c r="D137">
        <v>1.1499999999999999</v>
      </c>
      <c r="E137">
        <v>5</v>
      </c>
      <c r="F137">
        <v>5</v>
      </c>
      <c r="G137">
        <v>2.0670000000000002</v>
      </c>
      <c r="H137">
        <v>0</v>
      </c>
      <c r="I137">
        <v>0</v>
      </c>
      <c r="J137" s="1">
        <v>1</v>
      </c>
      <c r="L137">
        <f t="shared" si="2"/>
        <v>0</v>
      </c>
    </row>
    <row r="138" spans="1:12" x14ac:dyDescent="0.3">
      <c r="A138">
        <v>60</v>
      </c>
      <c r="B138">
        <v>3</v>
      </c>
      <c r="C138" s="1">
        <v>60</v>
      </c>
      <c r="D138">
        <v>1.1499999999999999</v>
      </c>
      <c r="E138">
        <v>5</v>
      </c>
      <c r="F138">
        <v>5</v>
      </c>
      <c r="G138">
        <v>2.0179999999999998</v>
      </c>
      <c r="H138">
        <v>0</v>
      </c>
      <c r="I138">
        <v>0</v>
      </c>
      <c r="J138" s="1">
        <v>1</v>
      </c>
      <c r="L138">
        <f t="shared" si="2"/>
        <v>0</v>
      </c>
    </row>
    <row r="139" spans="1:12" x14ac:dyDescent="0.3">
      <c r="A139">
        <v>60</v>
      </c>
      <c r="B139">
        <v>3</v>
      </c>
      <c r="C139" s="1">
        <v>70</v>
      </c>
      <c r="D139">
        <v>1.1499999999999999</v>
      </c>
      <c r="E139">
        <v>5</v>
      </c>
      <c r="F139">
        <v>5</v>
      </c>
      <c r="G139">
        <v>3.2570000000000001</v>
      </c>
      <c r="H139">
        <v>0</v>
      </c>
      <c r="I139">
        <v>0</v>
      </c>
      <c r="J139" s="1">
        <v>1</v>
      </c>
      <c r="L139">
        <f t="shared" si="2"/>
        <v>0</v>
      </c>
    </row>
    <row r="140" spans="1:12" x14ac:dyDescent="0.3">
      <c r="A140">
        <v>60</v>
      </c>
      <c r="B140">
        <v>3</v>
      </c>
      <c r="C140" s="1">
        <v>80</v>
      </c>
      <c r="D140">
        <v>1.1499999999999999</v>
      </c>
      <c r="E140">
        <v>5</v>
      </c>
      <c r="F140">
        <v>5</v>
      </c>
      <c r="G140">
        <v>2.2360000000000002</v>
      </c>
      <c r="H140">
        <v>0</v>
      </c>
      <c r="I140">
        <v>0</v>
      </c>
      <c r="J140" s="1">
        <v>1</v>
      </c>
      <c r="L140">
        <f t="shared" si="2"/>
        <v>0</v>
      </c>
    </row>
    <row r="141" spans="1:12" x14ac:dyDescent="0.3">
      <c r="A141">
        <v>60</v>
      </c>
      <c r="B141">
        <v>3</v>
      </c>
      <c r="C141" s="1">
        <v>90</v>
      </c>
      <c r="D141">
        <v>1.1499999999999999</v>
      </c>
      <c r="E141">
        <v>5</v>
      </c>
      <c r="F141">
        <v>5</v>
      </c>
      <c r="G141">
        <v>2.1960000000000002</v>
      </c>
      <c r="H141">
        <v>0</v>
      </c>
      <c r="I141">
        <v>0</v>
      </c>
      <c r="J141" s="1">
        <v>1</v>
      </c>
      <c r="L141">
        <f t="shared" si="2"/>
        <v>0</v>
      </c>
    </row>
    <row r="142" spans="1:12" s="2" customFormat="1" x14ac:dyDescent="0.3">
      <c r="A142" s="2">
        <v>60</v>
      </c>
      <c r="B142" s="2">
        <v>3</v>
      </c>
      <c r="C142" s="3">
        <v>100</v>
      </c>
      <c r="D142" s="2">
        <v>1.1499999999999999</v>
      </c>
      <c r="E142" s="2">
        <v>5</v>
      </c>
      <c r="F142" s="2">
        <v>5</v>
      </c>
      <c r="G142" s="2">
        <v>2.12</v>
      </c>
      <c r="H142" s="2">
        <v>0</v>
      </c>
      <c r="I142" s="2">
        <v>0</v>
      </c>
      <c r="J142" s="3">
        <v>1</v>
      </c>
      <c r="K142" s="5">
        <f>AVERAGE(G133:G142)</f>
        <v>2.3965000000000005</v>
      </c>
      <c r="L142" s="2">
        <f t="shared" si="2"/>
        <v>0</v>
      </c>
    </row>
    <row r="143" spans="1:12" x14ac:dyDescent="0.3">
      <c r="A143">
        <v>60</v>
      </c>
      <c r="B143">
        <v>4</v>
      </c>
      <c r="C143" s="1">
        <v>10</v>
      </c>
      <c r="D143">
        <v>1.1499999999999999</v>
      </c>
      <c r="E143">
        <v>4</v>
      </c>
      <c r="F143">
        <v>4</v>
      </c>
      <c r="G143">
        <v>1.585</v>
      </c>
      <c r="H143">
        <v>0</v>
      </c>
      <c r="I143">
        <v>0</v>
      </c>
      <c r="J143" s="1">
        <v>1</v>
      </c>
      <c r="L143">
        <f t="shared" si="2"/>
        <v>0</v>
      </c>
    </row>
    <row r="144" spans="1:12" x14ac:dyDescent="0.3">
      <c r="A144">
        <v>60</v>
      </c>
      <c r="B144">
        <v>4</v>
      </c>
      <c r="C144" s="1">
        <v>20</v>
      </c>
      <c r="D144">
        <v>1.1499999999999999</v>
      </c>
      <c r="E144">
        <v>4</v>
      </c>
      <c r="F144">
        <v>4</v>
      </c>
      <c r="G144">
        <v>1.7090000000000001</v>
      </c>
      <c r="H144">
        <v>0</v>
      </c>
      <c r="I144">
        <v>0</v>
      </c>
      <c r="J144" s="1">
        <v>1</v>
      </c>
      <c r="L144">
        <f t="shared" si="2"/>
        <v>0</v>
      </c>
    </row>
    <row r="145" spans="1:12" x14ac:dyDescent="0.3">
      <c r="A145">
        <v>60</v>
      </c>
      <c r="B145">
        <v>4</v>
      </c>
      <c r="C145" s="1">
        <v>30</v>
      </c>
      <c r="D145">
        <v>1.1499999999999999</v>
      </c>
      <c r="E145">
        <v>4</v>
      </c>
      <c r="F145">
        <v>4</v>
      </c>
      <c r="G145">
        <v>1.8260000000000001</v>
      </c>
      <c r="H145">
        <v>0</v>
      </c>
      <c r="I145">
        <v>0</v>
      </c>
      <c r="J145" s="1">
        <v>1</v>
      </c>
      <c r="L145">
        <f t="shared" si="2"/>
        <v>0</v>
      </c>
    </row>
    <row r="146" spans="1:12" x14ac:dyDescent="0.3">
      <c r="A146">
        <v>60</v>
      </c>
      <c r="B146">
        <v>4</v>
      </c>
      <c r="C146" s="1">
        <v>40</v>
      </c>
      <c r="D146">
        <v>1.1499999999999999</v>
      </c>
      <c r="E146">
        <v>4</v>
      </c>
      <c r="F146">
        <v>4</v>
      </c>
      <c r="G146">
        <v>1.7070000000000001</v>
      </c>
      <c r="H146">
        <v>0</v>
      </c>
      <c r="I146">
        <v>0</v>
      </c>
      <c r="J146" s="1">
        <v>1</v>
      </c>
      <c r="L146">
        <f t="shared" si="2"/>
        <v>0</v>
      </c>
    </row>
    <row r="147" spans="1:12" x14ac:dyDescent="0.3">
      <c r="A147">
        <v>60</v>
      </c>
      <c r="B147">
        <v>4</v>
      </c>
      <c r="C147" s="1">
        <v>50</v>
      </c>
      <c r="D147">
        <v>1.1499999999999999</v>
      </c>
      <c r="E147">
        <v>4</v>
      </c>
      <c r="F147">
        <v>4</v>
      </c>
      <c r="G147">
        <v>1.651</v>
      </c>
      <c r="H147">
        <v>0</v>
      </c>
      <c r="I147">
        <v>0</v>
      </c>
      <c r="J147" s="1">
        <v>1</v>
      </c>
      <c r="L147">
        <f t="shared" si="2"/>
        <v>0</v>
      </c>
    </row>
    <row r="148" spans="1:12" x14ac:dyDescent="0.3">
      <c r="A148">
        <v>60</v>
      </c>
      <c r="B148">
        <v>4</v>
      </c>
      <c r="C148" s="1">
        <v>60</v>
      </c>
      <c r="D148">
        <v>1.1499999999999999</v>
      </c>
      <c r="E148">
        <v>4</v>
      </c>
      <c r="F148">
        <v>4</v>
      </c>
      <c r="G148">
        <v>1.657</v>
      </c>
      <c r="H148">
        <v>0</v>
      </c>
      <c r="I148">
        <v>0</v>
      </c>
      <c r="J148" s="1">
        <v>1</v>
      </c>
      <c r="L148">
        <f t="shared" si="2"/>
        <v>0</v>
      </c>
    </row>
    <row r="149" spans="1:12" x14ac:dyDescent="0.3">
      <c r="A149">
        <v>60</v>
      </c>
      <c r="B149">
        <v>4</v>
      </c>
      <c r="C149" s="1">
        <v>70</v>
      </c>
      <c r="D149">
        <v>1.1499999999999999</v>
      </c>
      <c r="E149">
        <v>4</v>
      </c>
      <c r="F149">
        <v>4</v>
      </c>
      <c r="G149">
        <v>1.9850000000000001</v>
      </c>
      <c r="H149">
        <v>0</v>
      </c>
      <c r="I149">
        <v>0</v>
      </c>
      <c r="J149" s="1">
        <v>1</v>
      </c>
      <c r="L149">
        <f t="shared" si="2"/>
        <v>0</v>
      </c>
    </row>
    <row r="150" spans="1:12" x14ac:dyDescent="0.3">
      <c r="A150">
        <v>60</v>
      </c>
      <c r="B150">
        <v>4</v>
      </c>
      <c r="C150" s="1">
        <v>80</v>
      </c>
      <c r="D150">
        <v>1.1499999999999999</v>
      </c>
      <c r="E150">
        <v>4</v>
      </c>
      <c r="F150">
        <v>4</v>
      </c>
      <c r="G150">
        <v>1.758</v>
      </c>
      <c r="H150">
        <v>0</v>
      </c>
      <c r="I150">
        <v>0</v>
      </c>
      <c r="J150" s="1">
        <v>1</v>
      </c>
      <c r="L150">
        <f t="shared" si="2"/>
        <v>0</v>
      </c>
    </row>
    <row r="151" spans="1:12" x14ac:dyDescent="0.3">
      <c r="A151">
        <v>60</v>
      </c>
      <c r="B151">
        <v>4</v>
      </c>
      <c r="C151" s="1">
        <v>90</v>
      </c>
      <c r="D151">
        <v>1.1499999999999999</v>
      </c>
      <c r="E151">
        <v>4</v>
      </c>
      <c r="F151">
        <v>4</v>
      </c>
      <c r="G151">
        <v>1.681</v>
      </c>
      <c r="H151">
        <v>0</v>
      </c>
      <c r="I151">
        <v>0</v>
      </c>
      <c r="J151" s="1">
        <v>1</v>
      </c>
      <c r="L151">
        <f t="shared" si="2"/>
        <v>0</v>
      </c>
    </row>
    <row r="152" spans="1:12" s="2" customFormat="1" x14ac:dyDescent="0.3">
      <c r="A152" s="2">
        <v>60</v>
      </c>
      <c r="B152" s="2">
        <v>4</v>
      </c>
      <c r="C152" s="3">
        <v>100</v>
      </c>
      <c r="D152" s="2">
        <v>1.1499999999999999</v>
      </c>
      <c r="E152" s="2">
        <v>4</v>
      </c>
      <c r="F152" s="2">
        <v>4</v>
      </c>
      <c r="G152" s="2">
        <v>1.5960000000000001</v>
      </c>
      <c r="H152" s="2">
        <v>0</v>
      </c>
      <c r="I152" s="2">
        <v>0</v>
      </c>
      <c r="J152" s="3">
        <v>1</v>
      </c>
      <c r="K152" s="5">
        <f>AVERAGE(G143:G152)</f>
        <v>1.7155</v>
      </c>
      <c r="L152" s="2">
        <f t="shared" si="2"/>
        <v>0</v>
      </c>
    </row>
    <row r="153" spans="1:12" x14ac:dyDescent="0.3">
      <c r="A153">
        <v>60</v>
      </c>
      <c r="B153">
        <v>5</v>
      </c>
      <c r="C153" s="1">
        <v>10</v>
      </c>
      <c r="D153">
        <v>1.1499999999999999</v>
      </c>
      <c r="E153">
        <v>3</v>
      </c>
      <c r="F153">
        <v>3</v>
      </c>
      <c r="G153">
        <v>1.2270000000000001</v>
      </c>
      <c r="H153">
        <v>0</v>
      </c>
      <c r="I153">
        <v>0</v>
      </c>
      <c r="J153" s="1">
        <v>1</v>
      </c>
      <c r="L153">
        <f t="shared" si="2"/>
        <v>0</v>
      </c>
    </row>
    <row r="154" spans="1:12" x14ac:dyDescent="0.3">
      <c r="A154">
        <v>60</v>
      </c>
      <c r="B154">
        <v>5</v>
      </c>
      <c r="C154" s="1">
        <v>20</v>
      </c>
      <c r="D154">
        <v>1.1499999999999999</v>
      </c>
      <c r="E154">
        <v>3</v>
      </c>
      <c r="F154">
        <v>3</v>
      </c>
      <c r="G154">
        <v>1.3</v>
      </c>
      <c r="H154">
        <v>0</v>
      </c>
      <c r="I154">
        <v>0</v>
      </c>
      <c r="J154" s="1">
        <v>1</v>
      </c>
      <c r="L154">
        <f t="shared" si="2"/>
        <v>0</v>
      </c>
    </row>
    <row r="155" spans="1:12" x14ac:dyDescent="0.3">
      <c r="A155">
        <v>60</v>
      </c>
      <c r="B155">
        <v>5</v>
      </c>
      <c r="C155" s="1">
        <v>30</v>
      </c>
      <c r="D155">
        <v>1.1499999999999999</v>
      </c>
      <c r="E155">
        <v>3</v>
      </c>
      <c r="F155">
        <v>3</v>
      </c>
      <c r="G155">
        <v>1.502</v>
      </c>
      <c r="H155">
        <v>0</v>
      </c>
      <c r="I155">
        <v>0</v>
      </c>
      <c r="J155" s="1">
        <v>1</v>
      </c>
      <c r="L155">
        <f t="shared" si="2"/>
        <v>0</v>
      </c>
    </row>
    <row r="156" spans="1:12" x14ac:dyDescent="0.3">
      <c r="A156">
        <v>60</v>
      </c>
      <c r="B156">
        <v>5</v>
      </c>
      <c r="C156" s="1">
        <v>40</v>
      </c>
      <c r="D156">
        <v>1.1499999999999999</v>
      </c>
      <c r="E156">
        <v>3</v>
      </c>
      <c r="F156">
        <v>3</v>
      </c>
      <c r="G156">
        <v>1.3080000000000001</v>
      </c>
      <c r="H156">
        <v>0</v>
      </c>
      <c r="I156">
        <v>0</v>
      </c>
      <c r="J156" s="1">
        <v>1</v>
      </c>
      <c r="L156">
        <f t="shared" si="2"/>
        <v>0</v>
      </c>
    </row>
    <row r="157" spans="1:12" x14ac:dyDescent="0.3">
      <c r="A157">
        <v>60</v>
      </c>
      <c r="B157">
        <v>5</v>
      </c>
      <c r="C157" s="1">
        <v>50</v>
      </c>
      <c r="D157">
        <v>1.1499999999999999</v>
      </c>
      <c r="E157">
        <v>3</v>
      </c>
      <c r="F157">
        <v>3</v>
      </c>
      <c r="G157">
        <v>1.337</v>
      </c>
      <c r="H157">
        <v>0</v>
      </c>
      <c r="I157">
        <v>0</v>
      </c>
      <c r="J157" s="1">
        <v>1</v>
      </c>
      <c r="L157">
        <f t="shared" si="2"/>
        <v>0</v>
      </c>
    </row>
    <row r="158" spans="1:12" x14ac:dyDescent="0.3">
      <c r="A158">
        <v>60</v>
      </c>
      <c r="B158">
        <v>5</v>
      </c>
      <c r="C158" s="1">
        <v>60</v>
      </c>
      <c r="D158">
        <v>1.1499999999999999</v>
      </c>
      <c r="E158">
        <v>3</v>
      </c>
      <c r="F158">
        <v>3</v>
      </c>
      <c r="G158">
        <v>1.3240000000000001</v>
      </c>
      <c r="H158">
        <v>0</v>
      </c>
      <c r="I158">
        <v>0</v>
      </c>
      <c r="J158" s="1">
        <v>1</v>
      </c>
      <c r="L158">
        <f t="shared" si="2"/>
        <v>0</v>
      </c>
    </row>
    <row r="159" spans="1:12" x14ac:dyDescent="0.3">
      <c r="A159">
        <v>60</v>
      </c>
      <c r="B159">
        <v>5</v>
      </c>
      <c r="C159" s="1">
        <v>70</v>
      </c>
      <c r="D159">
        <v>1.1499999999999999</v>
      </c>
      <c r="E159">
        <v>3</v>
      </c>
      <c r="F159">
        <v>3</v>
      </c>
      <c r="G159">
        <v>1.6439999999999999</v>
      </c>
      <c r="H159">
        <v>0</v>
      </c>
      <c r="I159">
        <v>0</v>
      </c>
      <c r="J159" s="1">
        <v>1</v>
      </c>
      <c r="L159">
        <f t="shared" si="2"/>
        <v>0</v>
      </c>
    </row>
    <row r="160" spans="1:12" x14ac:dyDescent="0.3">
      <c r="A160">
        <v>60</v>
      </c>
      <c r="B160">
        <v>5</v>
      </c>
      <c r="C160" s="1">
        <v>80</v>
      </c>
      <c r="D160">
        <v>1.1499999999999999</v>
      </c>
      <c r="E160">
        <v>3</v>
      </c>
      <c r="F160">
        <v>3</v>
      </c>
      <c r="G160">
        <v>1.448</v>
      </c>
      <c r="H160">
        <v>0</v>
      </c>
      <c r="I160">
        <v>0</v>
      </c>
      <c r="J160" s="1">
        <v>1</v>
      </c>
      <c r="L160">
        <f t="shared" si="2"/>
        <v>0</v>
      </c>
    </row>
    <row r="161" spans="1:12" x14ac:dyDescent="0.3">
      <c r="A161">
        <v>60</v>
      </c>
      <c r="B161">
        <v>5</v>
      </c>
      <c r="C161" s="1">
        <v>90</v>
      </c>
      <c r="D161">
        <v>1.1499999999999999</v>
      </c>
      <c r="E161">
        <v>3</v>
      </c>
      <c r="F161">
        <v>3</v>
      </c>
      <c r="G161">
        <v>1.2470000000000001</v>
      </c>
      <c r="H161">
        <v>0</v>
      </c>
      <c r="I161">
        <v>0</v>
      </c>
      <c r="J161" s="1">
        <v>1</v>
      </c>
      <c r="L161">
        <f t="shared" si="2"/>
        <v>0</v>
      </c>
    </row>
    <row r="162" spans="1:12" s="2" customFormat="1" x14ac:dyDescent="0.3">
      <c r="A162" s="2">
        <v>60</v>
      </c>
      <c r="B162" s="2">
        <v>5</v>
      </c>
      <c r="C162" s="3">
        <v>100</v>
      </c>
      <c r="D162" s="2">
        <v>1.1499999999999999</v>
      </c>
      <c r="E162" s="2">
        <v>3</v>
      </c>
      <c r="F162" s="2">
        <v>3</v>
      </c>
      <c r="G162" s="2">
        <v>1.256</v>
      </c>
      <c r="H162" s="2">
        <v>0</v>
      </c>
      <c r="I162" s="2">
        <v>0</v>
      </c>
      <c r="J162" s="3">
        <v>1</v>
      </c>
      <c r="K162" s="5">
        <f>AVERAGE(G153:G162)</f>
        <v>1.3593</v>
      </c>
      <c r="L162" s="2">
        <f t="shared" si="2"/>
        <v>0</v>
      </c>
    </row>
    <row r="163" spans="1:12" x14ac:dyDescent="0.3">
      <c r="A163">
        <v>70</v>
      </c>
      <c r="B163">
        <v>2</v>
      </c>
      <c r="C163" s="1">
        <v>10</v>
      </c>
      <c r="D163">
        <v>1.1499999999999999</v>
      </c>
      <c r="E163">
        <v>7</v>
      </c>
      <c r="F163">
        <v>7</v>
      </c>
      <c r="G163">
        <v>6.883</v>
      </c>
      <c r="H163">
        <v>0</v>
      </c>
      <c r="I163">
        <v>0</v>
      </c>
      <c r="J163" s="1">
        <v>1</v>
      </c>
      <c r="L163">
        <f t="shared" si="2"/>
        <v>0</v>
      </c>
    </row>
    <row r="164" spans="1:12" x14ac:dyDescent="0.3">
      <c r="A164">
        <v>70</v>
      </c>
      <c r="B164">
        <v>2</v>
      </c>
      <c r="C164" s="1">
        <v>20</v>
      </c>
      <c r="D164">
        <v>1.1499999999999999</v>
      </c>
      <c r="E164">
        <v>7</v>
      </c>
      <c r="F164">
        <v>7</v>
      </c>
      <c r="G164">
        <v>6.35</v>
      </c>
      <c r="H164">
        <v>0</v>
      </c>
      <c r="I164">
        <v>0</v>
      </c>
      <c r="J164" s="1">
        <v>1</v>
      </c>
      <c r="L164">
        <f t="shared" si="2"/>
        <v>0</v>
      </c>
    </row>
    <row r="165" spans="1:12" x14ac:dyDescent="0.3">
      <c r="A165">
        <v>70</v>
      </c>
      <c r="B165">
        <v>2</v>
      </c>
      <c r="C165" s="1">
        <v>30</v>
      </c>
      <c r="D165">
        <v>1.1499999999999999</v>
      </c>
      <c r="E165">
        <v>7</v>
      </c>
      <c r="F165">
        <v>7</v>
      </c>
      <c r="G165">
        <v>7.7320000000000002</v>
      </c>
      <c r="H165">
        <v>0</v>
      </c>
      <c r="I165">
        <v>0</v>
      </c>
      <c r="J165" s="1">
        <v>1</v>
      </c>
      <c r="L165">
        <f t="shared" si="2"/>
        <v>0</v>
      </c>
    </row>
    <row r="166" spans="1:12" x14ac:dyDescent="0.3">
      <c r="A166">
        <v>70</v>
      </c>
      <c r="B166">
        <v>2</v>
      </c>
      <c r="C166" s="1">
        <v>40</v>
      </c>
      <c r="D166">
        <v>1.1499999999999999</v>
      </c>
      <c r="F166">
        <v>8</v>
      </c>
      <c r="G166">
        <v>3600</v>
      </c>
      <c r="H166">
        <v>0</v>
      </c>
      <c r="I166">
        <v>0</v>
      </c>
      <c r="J166" s="1">
        <v>6</v>
      </c>
      <c r="L166">
        <f t="shared" si="2"/>
        <v>100</v>
      </c>
    </row>
    <row r="167" spans="1:12" x14ac:dyDescent="0.3">
      <c r="A167">
        <v>70</v>
      </c>
      <c r="B167">
        <v>2</v>
      </c>
      <c r="C167" s="1">
        <v>50</v>
      </c>
      <c r="D167">
        <v>1.1499999999999999</v>
      </c>
      <c r="F167">
        <v>8</v>
      </c>
      <c r="G167">
        <v>3600</v>
      </c>
      <c r="H167">
        <v>0</v>
      </c>
      <c r="I167">
        <v>0</v>
      </c>
      <c r="J167" s="1">
        <v>7</v>
      </c>
      <c r="L167">
        <f t="shared" si="2"/>
        <v>100</v>
      </c>
    </row>
    <row r="168" spans="1:12" x14ac:dyDescent="0.3">
      <c r="A168">
        <v>70</v>
      </c>
      <c r="B168">
        <v>2</v>
      </c>
      <c r="C168" s="1">
        <v>60</v>
      </c>
      <c r="D168">
        <v>1.1499999999999999</v>
      </c>
      <c r="E168">
        <v>7</v>
      </c>
      <c r="F168">
        <v>7</v>
      </c>
      <c r="G168">
        <v>197.47</v>
      </c>
      <c r="H168">
        <v>0</v>
      </c>
      <c r="I168">
        <v>0</v>
      </c>
      <c r="J168" s="1">
        <v>2</v>
      </c>
      <c r="L168">
        <f t="shared" si="2"/>
        <v>0</v>
      </c>
    </row>
    <row r="169" spans="1:12" x14ac:dyDescent="0.3">
      <c r="A169">
        <v>70</v>
      </c>
      <c r="B169">
        <v>2</v>
      </c>
      <c r="C169" s="1">
        <v>70</v>
      </c>
      <c r="D169">
        <v>1.1499999999999999</v>
      </c>
      <c r="E169">
        <v>7</v>
      </c>
      <c r="F169">
        <v>7</v>
      </c>
      <c r="G169">
        <v>10.595000000000001</v>
      </c>
      <c r="H169">
        <v>0</v>
      </c>
      <c r="I169">
        <v>0</v>
      </c>
      <c r="J169" s="1">
        <v>1</v>
      </c>
      <c r="L169">
        <f t="shared" si="2"/>
        <v>0</v>
      </c>
    </row>
    <row r="170" spans="1:12" x14ac:dyDescent="0.3">
      <c r="A170">
        <v>70</v>
      </c>
      <c r="B170">
        <v>2</v>
      </c>
      <c r="C170" s="1">
        <v>80</v>
      </c>
      <c r="D170">
        <v>1.1499999999999999</v>
      </c>
      <c r="E170">
        <v>7</v>
      </c>
      <c r="F170">
        <v>7</v>
      </c>
      <c r="G170">
        <v>10.311999999999999</v>
      </c>
      <c r="H170">
        <v>0</v>
      </c>
      <c r="I170">
        <v>0</v>
      </c>
      <c r="J170" s="1">
        <v>1</v>
      </c>
      <c r="L170">
        <f t="shared" si="2"/>
        <v>0</v>
      </c>
    </row>
    <row r="171" spans="1:12" x14ac:dyDescent="0.3">
      <c r="A171">
        <v>70</v>
      </c>
      <c r="B171">
        <v>2</v>
      </c>
      <c r="C171" s="1">
        <v>90</v>
      </c>
      <c r="D171">
        <v>1.1499999999999999</v>
      </c>
      <c r="E171">
        <v>7</v>
      </c>
      <c r="F171">
        <v>7</v>
      </c>
      <c r="G171">
        <v>8.8409999999999993</v>
      </c>
      <c r="H171">
        <v>0</v>
      </c>
      <c r="I171">
        <v>0</v>
      </c>
      <c r="J171" s="1">
        <v>1</v>
      </c>
      <c r="L171">
        <f t="shared" si="2"/>
        <v>0</v>
      </c>
    </row>
    <row r="172" spans="1:12" s="2" customFormat="1" x14ac:dyDescent="0.3">
      <c r="A172" s="2">
        <v>70</v>
      </c>
      <c r="B172" s="2">
        <v>2</v>
      </c>
      <c r="C172" s="3">
        <v>100</v>
      </c>
      <c r="D172" s="2">
        <v>1.1499999999999999</v>
      </c>
      <c r="E172" s="2">
        <v>7</v>
      </c>
      <c r="F172" s="2">
        <v>7</v>
      </c>
      <c r="G172" s="2">
        <v>7.5229999999999997</v>
      </c>
      <c r="H172" s="2">
        <v>0</v>
      </c>
      <c r="I172" s="2">
        <v>0</v>
      </c>
      <c r="J172" s="3">
        <v>1</v>
      </c>
      <c r="K172" s="5">
        <f>AVERAGE(G163:G172)</f>
        <v>745.57060000000013</v>
      </c>
      <c r="L172" s="2">
        <f t="shared" si="2"/>
        <v>0</v>
      </c>
    </row>
    <row r="173" spans="1:12" x14ac:dyDescent="0.3">
      <c r="A173">
        <v>70</v>
      </c>
      <c r="B173">
        <v>3</v>
      </c>
      <c r="C173" s="1">
        <v>10</v>
      </c>
      <c r="D173">
        <v>1.1499999999999999</v>
      </c>
      <c r="E173">
        <v>6</v>
      </c>
      <c r="F173">
        <v>6</v>
      </c>
      <c r="G173">
        <v>7.66</v>
      </c>
      <c r="H173">
        <v>0</v>
      </c>
      <c r="I173">
        <v>0</v>
      </c>
      <c r="J173" s="1">
        <v>1</v>
      </c>
      <c r="L173">
        <f t="shared" si="2"/>
        <v>0</v>
      </c>
    </row>
    <row r="174" spans="1:12" x14ac:dyDescent="0.3">
      <c r="A174">
        <v>70</v>
      </c>
      <c r="B174">
        <v>3</v>
      </c>
      <c r="C174" s="1">
        <v>20</v>
      </c>
      <c r="D174">
        <v>1.1499999999999999</v>
      </c>
      <c r="E174">
        <v>6</v>
      </c>
      <c r="F174">
        <v>6</v>
      </c>
      <c r="G174">
        <v>5.5910000000000002</v>
      </c>
      <c r="H174">
        <v>0</v>
      </c>
      <c r="I174">
        <v>0</v>
      </c>
      <c r="J174" s="1">
        <v>1</v>
      </c>
      <c r="L174">
        <f t="shared" si="2"/>
        <v>0</v>
      </c>
    </row>
    <row r="175" spans="1:12" x14ac:dyDescent="0.3">
      <c r="A175">
        <v>70</v>
      </c>
      <c r="B175">
        <v>3</v>
      </c>
      <c r="C175" s="1">
        <v>30</v>
      </c>
      <c r="D175">
        <v>1.1499999999999999</v>
      </c>
      <c r="E175">
        <v>6</v>
      </c>
      <c r="F175">
        <v>6</v>
      </c>
      <c r="G175">
        <v>10.023999999999999</v>
      </c>
      <c r="H175">
        <v>0</v>
      </c>
      <c r="I175">
        <v>0</v>
      </c>
      <c r="J175" s="1">
        <v>1</v>
      </c>
      <c r="L175">
        <f t="shared" si="2"/>
        <v>0</v>
      </c>
    </row>
    <row r="176" spans="1:12" x14ac:dyDescent="0.3">
      <c r="A176">
        <v>70</v>
      </c>
      <c r="B176">
        <v>3</v>
      </c>
      <c r="C176" s="1">
        <v>40</v>
      </c>
      <c r="D176">
        <v>1.1499999999999999</v>
      </c>
      <c r="E176">
        <v>6</v>
      </c>
      <c r="F176">
        <v>6</v>
      </c>
      <c r="G176">
        <v>5.6790000000000003</v>
      </c>
      <c r="H176">
        <v>0</v>
      </c>
      <c r="I176">
        <v>0</v>
      </c>
      <c r="J176" s="1">
        <v>1</v>
      </c>
      <c r="L176">
        <f t="shared" si="2"/>
        <v>0</v>
      </c>
    </row>
    <row r="177" spans="1:12" x14ac:dyDescent="0.3">
      <c r="A177">
        <v>70</v>
      </c>
      <c r="B177">
        <v>3</v>
      </c>
      <c r="C177" s="1">
        <v>50</v>
      </c>
      <c r="D177">
        <v>1.1499999999999999</v>
      </c>
      <c r="E177">
        <v>7</v>
      </c>
      <c r="F177">
        <v>7</v>
      </c>
      <c r="G177">
        <v>60.777000000000001</v>
      </c>
      <c r="H177">
        <v>0</v>
      </c>
      <c r="I177">
        <v>0</v>
      </c>
      <c r="J177" s="1">
        <v>1</v>
      </c>
      <c r="L177">
        <f t="shared" si="2"/>
        <v>0</v>
      </c>
    </row>
    <row r="178" spans="1:12" x14ac:dyDescent="0.3">
      <c r="A178">
        <v>70</v>
      </c>
      <c r="B178">
        <v>3</v>
      </c>
      <c r="C178" s="1">
        <v>60</v>
      </c>
      <c r="D178">
        <v>1.1499999999999999</v>
      </c>
      <c r="E178">
        <v>6</v>
      </c>
      <c r="F178">
        <v>6</v>
      </c>
      <c r="G178">
        <v>4.8259999999999996</v>
      </c>
      <c r="H178">
        <v>0</v>
      </c>
      <c r="I178">
        <v>0</v>
      </c>
      <c r="J178" s="1">
        <v>1</v>
      </c>
      <c r="L178">
        <f t="shared" si="2"/>
        <v>0</v>
      </c>
    </row>
    <row r="179" spans="1:12" x14ac:dyDescent="0.3">
      <c r="A179">
        <v>70</v>
      </c>
      <c r="B179">
        <v>3</v>
      </c>
      <c r="C179" s="1">
        <v>70</v>
      </c>
      <c r="D179">
        <v>1.1499999999999999</v>
      </c>
      <c r="E179">
        <v>6</v>
      </c>
      <c r="F179">
        <v>6</v>
      </c>
      <c r="G179">
        <v>17.353999999999999</v>
      </c>
      <c r="H179">
        <v>0</v>
      </c>
      <c r="I179">
        <v>0</v>
      </c>
      <c r="J179" s="1">
        <v>1</v>
      </c>
      <c r="L179">
        <f t="shared" si="2"/>
        <v>0</v>
      </c>
    </row>
    <row r="180" spans="1:12" x14ac:dyDescent="0.3">
      <c r="A180">
        <v>70</v>
      </c>
      <c r="B180">
        <v>3</v>
      </c>
      <c r="C180" s="1">
        <v>80</v>
      </c>
      <c r="D180">
        <v>1.1499999999999999</v>
      </c>
      <c r="E180">
        <v>6</v>
      </c>
      <c r="F180">
        <v>6</v>
      </c>
      <c r="G180">
        <v>6.6749999999999998</v>
      </c>
      <c r="H180">
        <v>0</v>
      </c>
      <c r="I180">
        <v>0</v>
      </c>
      <c r="J180" s="1">
        <v>1</v>
      </c>
      <c r="L180">
        <f t="shared" si="2"/>
        <v>0</v>
      </c>
    </row>
    <row r="181" spans="1:12" x14ac:dyDescent="0.3">
      <c r="A181">
        <v>70</v>
      </c>
      <c r="B181">
        <v>3</v>
      </c>
      <c r="C181" s="1">
        <v>90</v>
      </c>
      <c r="D181">
        <v>1.1499999999999999</v>
      </c>
      <c r="E181">
        <v>6</v>
      </c>
      <c r="F181">
        <v>6</v>
      </c>
      <c r="G181">
        <v>6.1050000000000004</v>
      </c>
      <c r="H181">
        <v>0</v>
      </c>
      <c r="I181">
        <v>0</v>
      </c>
      <c r="J181" s="1">
        <v>1</v>
      </c>
      <c r="L181">
        <f t="shared" si="2"/>
        <v>0</v>
      </c>
    </row>
    <row r="182" spans="1:12" s="2" customFormat="1" x14ac:dyDescent="0.3">
      <c r="A182" s="2">
        <v>70</v>
      </c>
      <c r="B182" s="2">
        <v>3</v>
      </c>
      <c r="C182" s="3">
        <v>100</v>
      </c>
      <c r="D182" s="2">
        <v>1.1499999999999999</v>
      </c>
      <c r="E182" s="2">
        <v>6</v>
      </c>
      <c r="F182" s="2">
        <v>6</v>
      </c>
      <c r="G182" s="2">
        <v>9.1940000000000008</v>
      </c>
      <c r="H182" s="2">
        <v>0</v>
      </c>
      <c r="I182" s="2">
        <v>0</v>
      </c>
      <c r="J182" s="3">
        <v>1</v>
      </c>
      <c r="K182" s="5">
        <f>AVERAGE(G173:G182)</f>
        <v>13.388499999999999</v>
      </c>
      <c r="L182" s="2">
        <f t="shared" si="2"/>
        <v>0</v>
      </c>
    </row>
    <row r="183" spans="1:12" x14ac:dyDescent="0.3">
      <c r="A183">
        <v>70</v>
      </c>
      <c r="B183">
        <v>4</v>
      </c>
      <c r="C183" s="1">
        <v>10</v>
      </c>
      <c r="D183">
        <v>1.1499999999999999</v>
      </c>
      <c r="E183">
        <v>5</v>
      </c>
      <c r="F183">
        <v>5</v>
      </c>
      <c r="G183">
        <v>3.2490000000000001</v>
      </c>
      <c r="H183">
        <v>0</v>
      </c>
      <c r="I183">
        <v>0</v>
      </c>
      <c r="J183" s="1">
        <v>1</v>
      </c>
      <c r="L183">
        <f t="shared" si="2"/>
        <v>0</v>
      </c>
    </row>
    <row r="184" spans="1:12" x14ac:dyDescent="0.3">
      <c r="A184">
        <v>70</v>
      </c>
      <c r="B184">
        <v>4</v>
      </c>
      <c r="C184" s="1">
        <v>20</v>
      </c>
      <c r="D184">
        <v>1.1499999999999999</v>
      </c>
      <c r="E184">
        <v>5</v>
      </c>
      <c r="F184">
        <v>5</v>
      </c>
      <c r="G184">
        <v>3.669</v>
      </c>
      <c r="H184">
        <v>0</v>
      </c>
      <c r="I184">
        <v>0</v>
      </c>
      <c r="J184" s="1">
        <v>1</v>
      </c>
      <c r="L184">
        <f t="shared" si="2"/>
        <v>0</v>
      </c>
    </row>
    <row r="185" spans="1:12" x14ac:dyDescent="0.3">
      <c r="A185">
        <v>70</v>
      </c>
      <c r="B185">
        <v>4</v>
      </c>
      <c r="C185" s="1">
        <v>30</v>
      </c>
      <c r="D185">
        <v>1.1499999999999999</v>
      </c>
      <c r="E185">
        <v>5</v>
      </c>
      <c r="F185">
        <v>5</v>
      </c>
      <c r="G185">
        <v>4.7539999999999996</v>
      </c>
      <c r="H185">
        <v>0</v>
      </c>
      <c r="I185">
        <v>0</v>
      </c>
      <c r="J185" s="1">
        <v>1</v>
      </c>
      <c r="L185">
        <f t="shared" si="2"/>
        <v>0</v>
      </c>
    </row>
    <row r="186" spans="1:12" x14ac:dyDescent="0.3">
      <c r="A186">
        <v>70</v>
      </c>
      <c r="B186">
        <v>4</v>
      </c>
      <c r="C186" s="1">
        <v>40</v>
      </c>
      <c r="D186">
        <v>1.1499999999999999</v>
      </c>
      <c r="E186">
        <v>6</v>
      </c>
      <c r="F186">
        <v>6</v>
      </c>
      <c r="G186">
        <v>565.87699999999995</v>
      </c>
      <c r="H186">
        <v>0</v>
      </c>
      <c r="I186">
        <v>0</v>
      </c>
      <c r="J186" s="1">
        <v>8</v>
      </c>
      <c r="L186">
        <f t="shared" si="2"/>
        <v>0</v>
      </c>
    </row>
    <row r="187" spans="1:12" x14ac:dyDescent="0.3">
      <c r="A187">
        <v>70</v>
      </c>
      <c r="B187">
        <v>4</v>
      </c>
      <c r="C187" s="1">
        <v>50</v>
      </c>
      <c r="D187">
        <v>1.1499999999999999</v>
      </c>
      <c r="E187">
        <v>7</v>
      </c>
      <c r="F187">
        <v>6</v>
      </c>
      <c r="G187">
        <v>3600</v>
      </c>
      <c r="H187">
        <v>0</v>
      </c>
      <c r="I187">
        <v>0</v>
      </c>
      <c r="J187" s="1">
        <v>7</v>
      </c>
      <c r="L187">
        <f t="shared" si="2"/>
        <v>14.285714285714285</v>
      </c>
    </row>
    <row r="188" spans="1:12" x14ac:dyDescent="0.3">
      <c r="A188">
        <v>70</v>
      </c>
      <c r="B188">
        <v>4</v>
      </c>
      <c r="C188" s="1">
        <v>60</v>
      </c>
      <c r="D188">
        <v>1.1499999999999999</v>
      </c>
      <c r="E188">
        <v>5</v>
      </c>
      <c r="F188">
        <v>5</v>
      </c>
      <c r="G188">
        <v>4.0369999999999999</v>
      </c>
      <c r="H188">
        <v>0</v>
      </c>
      <c r="I188">
        <v>0</v>
      </c>
      <c r="J188" s="1">
        <v>1</v>
      </c>
      <c r="L188">
        <f t="shared" si="2"/>
        <v>0</v>
      </c>
    </row>
    <row r="189" spans="1:12" x14ac:dyDescent="0.3">
      <c r="A189">
        <v>70</v>
      </c>
      <c r="B189">
        <v>4</v>
      </c>
      <c r="C189" s="1">
        <v>70</v>
      </c>
      <c r="D189">
        <v>1.1499999999999999</v>
      </c>
      <c r="E189">
        <v>5</v>
      </c>
      <c r="F189">
        <v>5</v>
      </c>
      <c r="G189">
        <v>4.4610000000000003</v>
      </c>
      <c r="H189">
        <v>0</v>
      </c>
      <c r="I189">
        <v>0</v>
      </c>
      <c r="J189" s="1">
        <v>1</v>
      </c>
      <c r="L189">
        <f t="shared" si="2"/>
        <v>0</v>
      </c>
    </row>
    <row r="190" spans="1:12" x14ac:dyDescent="0.3">
      <c r="A190">
        <v>70</v>
      </c>
      <c r="B190">
        <v>4</v>
      </c>
      <c r="C190" s="1">
        <v>80</v>
      </c>
      <c r="D190">
        <v>1.1499999999999999</v>
      </c>
      <c r="E190">
        <v>5</v>
      </c>
      <c r="F190">
        <v>5</v>
      </c>
      <c r="G190">
        <v>5.8559999999999999</v>
      </c>
      <c r="H190">
        <v>0</v>
      </c>
      <c r="I190">
        <v>0</v>
      </c>
      <c r="J190" s="1">
        <v>1</v>
      </c>
      <c r="L190">
        <f t="shared" si="2"/>
        <v>0</v>
      </c>
    </row>
    <row r="191" spans="1:12" x14ac:dyDescent="0.3">
      <c r="A191">
        <v>70</v>
      </c>
      <c r="B191">
        <v>4</v>
      </c>
      <c r="C191" s="1">
        <v>90</v>
      </c>
      <c r="D191">
        <v>1.1499999999999999</v>
      </c>
      <c r="E191">
        <v>5</v>
      </c>
      <c r="F191">
        <v>5</v>
      </c>
      <c r="G191">
        <v>3.7679999999999998</v>
      </c>
      <c r="H191">
        <v>0</v>
      </c>
      <c r="I191">
        <v>0</v>
      </c>
      <c r="J191" s="1">
        <v>1</v>
      </c>
      <c r="L191">
        <f t="shared" si="2"/>
        <v>0</v>
      </c>
    </row>
    <row r="192" spans="1:12" s="2" customFormat="1" x14ac:dyDescent="0.3">
      <c r="A192" s="2">
        <v>70</v>
      </c>
      <c r="B192" s="2">
        <v>4</v>
      </c>
      <c r="C192" s="3">
        <v>100</v>
      </c>
      <c r="D192" s="2">
        <v>1.1499999999999999</v>
      </c>
      <c r="E192" s="2">
        <v>5</v>
      </c>
      <c r="F192" s="2">
        <v>5</v>
      </c>
      <c r="G192" s="2">
        <v>3.9460000000000002</v>
      </c>
      <c r="H192" s="2">
        <v>0</v>
      </c>
      <c r="I192" s="2">
        <v>0</v>
      </c>
      <c r="J192" s="3">
        <v>1</v>
      </c>
      <c r="K192" s="5">
        <f>AVERAGE(G183:G192)</f>
        <v>419.96170000000001</v>
      </c>
      <c r="L192" s="2">
        <f t="shared" si="2"/>
        <v>0</v>
      </c>
    </row>
    <row r="193" spans="1:12" x14ac:dyDescent="0.3">
      <c r="A193">
        <v>70</v>
      </c>
      <c r="B193">
        <v>5</v>
      </c>
      <c r="C193" s="1">
        <v>10</v>
      </c>
      <c r="D193">
        <v>1.1499999999999999</v>
      </c>
      <c r="E193">
        <v>4</v>
      </c>
      <c r="F193">
        <v>4</v>
      </c>
      <c r="G193">
        <v>2.621</v>
      </c>
      <c r="H193">
        <v>0</v>
      </c>
      <c r="I193">
        <v>0</v>
      </c>
      <c r="J193" s="1">
        <v>1</v>
      </c>
      <c r="L193">
        <f t="shared" si="2"/>
        <v>0</v>
      </c>
    </row>
    <row r="194" spans="1:12" x14ac:dyDescent="0.3">
      <c r="A194">
        <v>70</v>
      </c>
      <c r="B194">
        <v>5</v>
      </c>
      <c r="C194" s="1">
        <v>20</v>
      </c>
      <c r="D194">
        <v>1.1499999999999999</v>
      </c>
      <c r="E194">
        <v>4</v>
      </c>
      <c r="F194">
        <v>4</v>
      </c>
      <c r="G194">
        <v>2.4849999999999999</v>
      </c>
      <c r="H194">
        <v>0</v>
      </c>
      <c r="I194">
        <v>0</v>
      </c>
      <c r="J194" s="1">
        <v>1</v>
      </c>
      <c r="L194">
        <f t="shared" si="2"/>
        <v>0</v>
      </c>
    </row>
    <row r="195" spans="1:12" x14ac:dyDescent="0.3">
      <c r="A195">
        <v>70</v>
      </c>
      <c r="B195">
        <v>5</v>
      </c>
      <c r="C195" s="1">
        <v>30</v>
      </c>
      <c r="D195">
        <v>1.1499999999999999</v>
      </c>
      <c r="E195">
        <v>4</v>
      </c>
      <c r="F195">
        <v>4</v>
      </c>
      <c r="G195">
        <v>2.9220000000000002</v>
      </c>
      <c r="H195">
        <v>0</v>
      </c>
      <c r="I195">
        <v>0</v>
      </c>
      <c r="J195" s="1">
        <v>1</v>
      </c>
      <c r="L195">
        <f t="shared" ref="L195:L242" si="3">IF(ISBLANK(E195),IF(ISBLANK(F195),"",100), IF(E195+F195=0, 0, IF(G195=3600, IF(E195=F195,1,(E195-F195)/E195*100), 0)))</f>
        <v>0</v>
      </c>
    </row>
    <row r="196" spans="1:12" x14ac:dyDescent="0.3">
      <c r="A196">
        <v>70</v>
      </c>
      <c r="B196">
        <v>5</v>
      </c>
      <c r="C196" s="1">
        <v>40</v>
      </c>
      <c r="D196">
        <v>1.1499999999999999</v>
      </c>
      <c r="E196">
        <v>4</v>
      </c>
      <c r="F196">
        <v>4</v>
      </c>
      <c r="G196">
        <v>2.38</v>
      </c>
      <c r="H196">
        <v>0</v>
      </c>
      <c r="I196">
        <v>0</v>
      </c>
      <c r="J196" s="1">
        <v>1</v>
      </c>
      <c r="L196">
        <f t="shared" si="3"/>
        <v>0</v>
      </c>
    </row>
    <row r="197" spans="1:12" x14ac:dyDescent="0.3">
      <c r="A197">
        <v>70</v>
      </c>
      <c r="B197">
        <v>5</v>
      </c>
      <c r="C197" s="1">
        <v>50</v>
      </c>
      <c r="D197">
        <v>1.1499999999999999</v>
      </c>
      <c r="E197">
        <v>4</v>
      </c>
      <c r="F197">
        <v>4</v>
      </c>
      <c r="G197">
        <v>2.0329999999999999</v>
      </c>
      <c r="H197">
        <v>0</v>
      </c>
      <c r="I197">
        <v>0</v>
      </c>
      <c r="J197" s="1">
        <v>1</v>
      </c>
      <c r="L197">
        <f t="shared" si="3"/>
        <v>0</v>
      </c>
    </row>
    <row r="198" spans="1:12" x14ac:dyDescent="0.3">
      <c r="A198">
        <v>70</v>
      </c>
      <c r="B198">
        <v>5</v>
      </c>
      <c r="C198" s="1">
        <v>60</v>
      </c>
      <c r="D198">
        <v>1.1499999999999999</v>
      </c>
      <c r="E198">
        <v>4</v>
      </c>
      <c r="F198">
        <v>4</v>
      </c>
      <c r="G198">
        <v>2.6030000000000002</v>
      </c>
      <c r="H198">
        <v>0</v>
      </c>
      <c r="I198">
        <v>0</v>
      </c>
      <c r="J198" s="1">
        <v>1</v>
      </c>
      <c r="L198">
        <f t="shared" si="3"/>
        <v>0</v>
      </c>
    </row>
    <row r="199" spans="1:12" x14ac:dyDescent="0.3">
      <c r="A199">
        <v>70</v>
      </c>
      <c r="B199">
        <v>5</v>
      </c>
      <c r="C199" s="1">
        <v>70</v>
      </c>
      <c r="D199">
        <v>1.1499999999999999</v>
      </c>
      <c r="E199">
        <v>4</v>
      </c>
      <c r="F199">
        <v>4</v>
      </c>
      <c r="G199">
        <v>3.0329999999999999</v>
      </c>
      <c r="H199">
        <v>0</v>
      </c>
      <c r="I199">
        <v>0</v>
      </c>
      <c r="J199" s="1">
        <v>1</v>
      </c>
      <c r="L199">
        <f t="shared" si="3"/>
        <v>0</v>
      </c>
    </row>
    <row r="200" spans="1:12" x14ac:dyDescent="0.3">
      <c r="A200">
        <v>70</v>
      </c>
      <c r="B200">
        <v>5</v>
      </c>
      <c r="C200" s="1">
        <v>80</v>
      </c>
      <c r="D200">
        <v>1.1499999999999999</v>
      </c>
      <c r="E200">
        <v>4</v>
      </c>
      <c r="F200">
        <v>4</v>
      </c>
      <c r="G200">
        <v>2.4340000000000002</v>
      </c>
      <c r="H200">
        <v>0</v>
      </c>
      <c r="I200">
        <v>0</v>
      </c>
      <c r="J200" s="1">
        <v>1</v>
      </c>
      <c r="L200">
        <f t="shared" si="3"/>
        <v>0</v>
      </c>
    </row>
    <row r="201" spans="1:12" x14ac:dyDescent="0.3">
      <c r="A201">
        <v>70</v>
      </c>
      <c r="B201">
        <v>5</v>
      </c>
      <c r="C201" s="1">
        <v>90</v>
      </c>
      <c r="D201">
        <v>1.1499999999999999</v>
      </c>
      <c r="E201">
        <v>4</v>
      </c>
      <c r="F201">
        <v>4</v>
      </c>
      <c r="G201">
        <v>2.6190000000000002</v>
      </c>
      <c r="H201">
        <v>0</v>
      </c>
      <c r="I201">
        <v>0</v>
      </c>
      <c r="J201" s="1">
        <v>1</v>
      </c>
      <c r="L201">
        <f t="shared" si="3"/>
        <v>0</v>
      </c>
    </row>
    <row r="202" spans="1:12" s="2" customFormat="1" x14ac:dyDescent="0.3">
      <c r="A202" s="2">
        <v>70</v>
      </c>
      <c r="B202" s="2">
        <v>5</v>
      </c>
      <c r="C202" s="3">
        <v>100</v>
      </c>
      <c r="D202" s="2">
        <v>1.1499999999999999</v>
      </c>
      <c r="E202" s="2">
        <v>4</v>
      </c>
      <c r="F202" s="2">
        <v>4</v>
      </c>
      <c r="G202" s="2">
        <v>2.4329999999999998</v>
      </c>
      <c r="H202" s="2">
        <v>0</v>
      </c>
      <c r="I202" s="2">
        <v>0</v>
      </c>
      <c r="J202" s="3">
        <v>1</v>
      </c>
      <c r="K202" s="5">
        <f>AVERAGE(G193:G202)</f>
        <v>2.5563000000000002</v>
      </c>
      <c r="L202" s="2">
        <f t="shared" si="3"/>
        <v>0</v>
      </c>
    </row>
    <row r="203" spans="1:12" x14ac:dyDescent="0.3">
      <c r="A203">
        <v>80</v>
      </c>
      <c r="B203">
        <v>2</v>
      </c>
      <c r="C203" s="1">
        <v>10</v>
      </c>
      <c r="D203">
        <v>1.1499999999999999</v>
      </c>
      <c r="E203">
        <v>9</v>
      </c>
      <c r="F203">
        <v>9</v>
      </c>
      <c r="G203">
        <v>37.466000000000001</v>
      </c>
      <c r="H203">
        <v>0</v>
      </c>
      <c r="I203">
        <v>0</v>
      </c>
      <c r="J203" s="1">
        <v>1</v>
      </c>
      <c r="L203">
        <f t="shared" si="3"/>
        <v>0</v>
      </c>
    </row>
    <row r="204" spans="1:12" x14ac:dyDescent="0.3">
      <c r="A204">
        <v>80</v>
      </c>
      <c r="B204">
        <v>2</v>
      </c>
      <c r="C204" s="1">
        <v>20</v>
      </c>
      <c r="D204">
        <v>1.1499999999999999</v>
      </c>
      <c r="E204">
        <v>9</v>
      </c>
      <c r="F204">
        <v>9</v>
      </c>
      <c r="G204">
        <v>230.15799999999999</v>
      </c>
      <c r="H204">
        <v>0</v>
      </c>
      <c r="I204">
        <v>0</v>
      </c>
      <c r="J204" s="1">
        <v>2</v>
      </c>
      <c r="L204">
        <f t="shared" si="3"/>
        <v>0</v>
      </c>
    </row>
    <row r="205" spans="1:12" x14ac:dyDescent="0.3">
      <c r="A205">
        <v>80</v>
      </c>
      <c r="B205">
        <v>2</v>
      </c>
      <c r="C205" s="1">
        <v>30</v>
      </c>
      <c r="D205">
        <v>1.1499999999999999</v>
      </c>
      <c r="E205">
        <v>9</v>
      </c>
      <c r="F205">
        <v>9</v>
      </c>
      <c r="G205">
        <v>254.69499999999999</v>
      </c>
      <c r="H205">
        <v>0</v>
      </c>
      <c r="I205">
        <v>0</v>
      </c>
      <c r="J205" s="1">
        <v>2</v>
      </c>
      <c r="L205">
        <f t="shared" si="3"/>
        <v>0</v>
      </c>
    </row>
    <row r="206" spans="1:12" x14ac:dyDescent="0.3">
      <c r="A206">
        <v>80</v>
      </c>
      <c r="B206">
        <v>2</v>
      </c>
      <c r="C206" s="1">
        <v>40</v>
      </c>
      <c r="D206">
        <v>1.1499999999999999</v>
      </c>
      <c r="E206">
        <v>10</v>
      </c>
      <c r="F206">
        <v>10</v>
      </c>
      <c r="G206">
        <v>1459.787</v>
      </c>
      <c r="H206">
        <v>0</v>
      </c>
      <c r="I206">
        <v>0</v>
      </c>
      <c r="J206" s="1">
        <v>8</v>
      </c>
      <c r="L206">
        <f t="shared" si="3"/>
        <v>0</v>
      </c>
    </row>
    <row r="207" spans="1:12" x14ac:dyDescent="0.3">
      <c r="A207">
        <v>80</v>
      </c>
      <c r="B207">
        <v>2</v>
      </c>
      <c r="C207" s="1">
        <v>50</v>
      </c>
      <c r="D207">
        <v>1.1499999999999999</v>
      </c>
      <c r="E207">
        <v>9</v>
      </c>
      <c r="F207">
        <v>9</v>
      </c>
      <c r="G207">
        <v>244.28299999999999</v>
      </c>
      <c r="H207">
        <v>0</v>
      </c>
      <c r="I207">
        <v>0</v>
      </c>
      <c r="J207" s="1">
        <v>2</v>
      </c>
      <c r="L207">
        <f t="shared" si="3"/>
        <v>0</v>
      </c>
    </row>
    <row r="208" spans="1:12" x14ac:dyDescent="0.3">
      <c r="A208">
        <v>80</v>
      </c>
      <c r="B208">
        <v>2</v>
      </c>
      <c r="C208" s="1">
        <v>60</v>
      </c>
      <c r="D208">
        <v>1.1499999999999999</v>
      </c>
      <c r="E208">
        <v>10</v>
      </c>
      <c r="F208">
        <v>10</v>
      </c>
      <c r="G208">
        <v>2854.8449999999998</v>
      </c>
      <c r="H208">
        <v>0</v>
      </c>
      <c r="I208">
        <v>0</v>
      </c>
      <c r="J208" s="1">
        <v>15</v>
      </c>
      <c r="L208">
        <f t="shared" si="3"/>
        <v>0</v>
      </c>
    </row>
    <row r="209" spans="1:12" x14ac:dyDescent="0.3">
      <c r="A209">
        <v>80</v>
      </c>
      <c r="B209">
        <v>2</v>
      </c>
      <c r="C209" s="1">
        <v>70</v>
      </c>
      <c r="D209">
        <v>1.1499999999999999</v>
      </c>
      <c r="E209">
        <v>10</v>
      </c>
      <c r="F209">
        <v>10</v>
      </c>
      <c r="G209">
        <v>1309.463</v>
      </c>
      <c r="H209">
        <v>0</v>
      </c>
      <c r="I209">
        <v>0</v>
      </c>
      <c r="J209" s="1">
        <v>8</v>
      </c>
      <c r="L209">
        <f t="shared" si="3"/>
        <v>0</v>
      </c>
    </row>
    <row r="210" spans="1:12" x14ac:dyDescent="0.3">
      <c r="A210">
        <v>80</v>
      </c>
      <c r="B210">
        <v>2</v>
      </c>
      <c r="C210" s="1">
        <v>80</v>
      </c>
      <c r="D210">
        <v>1.1499999999999999</v>
      </c>
      <c r="E210">
        <v>10</v>
      </c>
      <c r="F210">
        <v>10</v>
      </c>
      <c r="G210">
        <v>1188.154</v>
      </c>
      <c r="H210">
        <v>0</v>
      </c>
      <c r="I210">
        <v>0</v>
      </c>
      <c r="J210" s="1">
        <v>7</v>
      </c>
      <c r="L210">
        <f t="shared" si="3"/>
        <v>0</v>
      </c>
    </row>
    <row r="211" spans="1:12" x14ac:dyDescent="0.3">
      <c r="A211">
        <v>80</v>
      </c>
      <c r="B211">
        <v>2</v>
      </c>
      <c r="C211" s="1">
        <v>90</v>
      </c>
      <c r="D211">
        <v>1.1499999999999999</v>
      </c>
      <c r="E211">
        <v>9</v>
      </c>
      <c r="F211">
        <v>9</v>
      </c>
      <c r="G211">
        <v>35.189</v>
      </c>
      <c r="H211">
        <v>0</v>
      </c>
      <c r="I211">
        <v>0</v>
      </c>
      <c r="J211" s="1">
        <v>1</v>
      </c>
      <c r="L211">
        <f t="shared" si="3"/>
        <v>0</v>
      </c>
    </row>
    <row r="212" spans="1:12" s="2" customFormat="1" x14ac:dyDescent="0.3">
      <c r="A212" s="2">
        <v>80</v>
      </c>
      <c r="B212" s="2">
        <v>2</v>
      </c>
      <c r="C212" s="3">
        <v>100</v>
      </c>
      <c r="D212" s="2">
        <v>1.1499999999999999</v>
      </c>
      <c r="E212" s="2">
        <v>9</v>
      </c>
      <c r="F212" s="2">
        <v>9</v>
      </c>
      <c r="G212" s="2">
        <v>40.524999999999999</v>
      </c>
      <c r="H212" s="2">
        <v>0</v>
      </c>
      <c r="I212" s="2">
        <v>0</v>
      </c>
      <c r="J212" s="3">
        <v>1</v>
      </c>
      <c r="K212" s="5">
        <f t="shared" ref="K212:K242" si="4">AVERAGE(G203:G212)</f>
        <v>765.45650000000001</v>
      </c>
      <c r="L212" s="2">
        <f t="shared" si="3"/>
        <v>0</v>
      </c>
    </row>
    <row r="213" spans="1:12" x14ac:dyDescent="0.3">
      <c r="A213">
        <v>80</v>
      </c>
      <c r="B213">
        <v>3</v>
      </c>
      <c r="C213" s="1">
        <v>10</v>
      </c>
      <c r="D213">
        <v>1.1499999999999999</v>
      </c>
      <c r="E213">
        <v>8</v>
      </c>
      <c r="F213">
        <v>8</v>
      </c>
      <c r="G213">
        <v>28.274999999999999</v>
      </c>
      <c r="H213">
        <v>0</v>
      </c>
      <c r="I213">
        <v>0</v>
      </c>
      <c r="J213" s="1">
        <v>1</v>
      </c>
      <c r="L213">
        <f t="shared" si="3"/>
        <v>0</v>
      </c>
    </row>
    <row r="214" spans="1:12" x14ac:dyDescent="0.3">
      <c r="A214">
        <v>80</v>
      </c>
      <c r="B214">
        <v>3</v>
      </c>
      <c r="C214" s="1">
        <v>20</v>
      </c>
      <c r="D214">
        <v>1.1499999999999999</v>
      </c>
      <c r="E214">
        <v>8</v>
      </c>
      <c r="F214">
        <v>8</v>
      </c>
      <c r="G214">
        <v>40.79</v>
      </c>
      <c r="H214">
        <v>0</v>
      </c>
      <c r="I214">
        <v>0</v>
      </c>
      <c r="J214" s="1">
        <v>1</v>
      </c>
      <c r="L214">
        <f t="shared" si="3"/>
        <v>0</v>
      </c>
    </row>
    <row r="215" spans="1:12" x14ac:dyDescent="0.3">
      <c r="A215">
        <v>80</v>
      </c>
      <c r="B215">
        <v>3</v>
      </c>
      <c r="C215" s="1">
        <v>30</v>
      </c>
      <c r="D215">
        <v>1.1499999999999999</v>
      </c>
      <c r="E215">
        <v>8</v>
      </c>
      <c r="F215">
        <v>8</v>
      </c>
      <c r="G215">
        <v>30.463000000000001</v>
      </c>
      <c r="H215">
        <v>0</v>
      </c>
      <c r="I215">
        <v>0</v>
      </c>
      <c r="J215" s="1">
        <v>1</v>
      </c>
      <c r="L215">
        <f t="shared" si="3"/>
        <v>0</v>
      </c>
    </row>
    <row r="216" spans="1:12" x14ac:dyDescent="0.3">
      <c r="A216">
        <v>80</v>
      </c>
      <c r="B216">
        <v>3</v>
      </c>
      <c r="C216" s="1">
        <v>40</v>
      </c>
      <c r="D216">
        <v>1.1499999999999999</v>
      </c>
      <c r="E216">
        <v>8</v>
      </c>
      <c r="F216">
        <v>8</v>
      </c>
      <c r="G216">
        <v>26.102</v>
      </c>
      <c r="H216">
        <v>0</v>
      </c>
      <c r="I216">
        <v>0</v>
      </c>
      <c r="J216" s="1">
        <v>1</v>
      </c>
      <c r="L216">
        <f t="shared" si="3"/>
        <v>0</v>
      </c>
    </row>
    <row r="217" spans="1:12" x14ac:dyDescent="0.3">
      <c r="A217">
        <v>80</v>
      </c>
      <c r="B217">
        <v>3</v>
      </c>
      <c r="C217" s="1">
        <v>50</v>
      </c>
      <c r="D217">
        <v>1.1499999999999999</v>
      </c>
      <c r="E217">
        <v>8</v>
      </c>
      <c r="F217">
        <v>8</v>
      </c>
      <c r="G217">
        <v>28.71</v>
      </c>
      <c r="H217">
        <v>0</v>
      </c>
      <c r="I217">
        <v>0</v>
      </c>
      <c r="J217" s="1">
        <v>1</v>
      </c>
      <c r="L217">
        <f t="shared" si="3"/>
        <v>0</v>
      </c>
    </row>
    <row r="218" spans="1:12" x14ac:dyDescent="0.3">
      <c r="A218">
        <v>80</v>
      </c>
      <c r="B218">
        <v>3</v>
      </c>
      <c r="C218" s="1">
        <v>60</v>
      </c>
      <c r="D218">
        <v>1.1499999999999999</v>
      </c>
      <c r="E218">
        <v>8</v>
      </c>
      <c r="F218">
        <v>8</v>
      </c>
      <c r="G218">
        <v>24.39</v>
      </c>
      <c r="H218">
        <v>0</v>
      </c>
      <c r="I218">
        <v>0</v>
      </c>
      <c r="J218" s="1">
        <v>1</v>
      </c>
      <c r="L218">
        <f t="shared" si="3"/>
        <v>0</v>
      </c>
    </row>
    <row r="219" spans="1:12" x14ac:dyDescent="0.3">
      <c r="A219">
        <v>80</v>
      </c>
      <c r="B219">
        <v>3</v>
      </c>
      <c r="C219" s="1">
        <v>70</v>
      </c>
      <c r="D219">
        <v>1.1499999999999999</v>
      </c>
      <c r="E219">
        <v>8</v>
      </c>
      <c r="F219">
        <v>8</v>
      </c>
      <c r="G219">
        <v>47.447000000000003</v>
      </c>
      <c r="H219">
        <v>0</v>
      </c>
      <c r="I219">
        <v>0</v>
      </c>
      <c r="J219" s="1">
        <v>1</v>
      </c>
      <c r="L219">
        <f t="shared" si="3"/>
        <v>0</v>
      </c>
    </row>
    <row r="220" spans="1:12" x14ac:dyDescent="0.3">
      <c r="A220">
        <v>80</v>
      </c>
      <c r="B220">
        <v>3</v>
      </c>
      <c r="C220" s="1">
        <v>80</v>
      </c>
      <c r="D220">
        <v>1.1499999999999999</v>
      </c>
      <c r="E220">
        <v>8</v>
      </c>
      <c r="F220">
        <v>8</v>
      </c>
      <c r="G220">
        <v>30.664999999999999</v>
      </c>
      <c r="H220">
        <v>0</v>
      </c>
      <c r="I220">
        <v>0</v>
      </c>
      <c r="J220" s="1">
        <v>1</v>
      </c>
      <c r="L220">
        <f t="shared" si="3"/>
        <v>0</v>
      </c>
    </row>
    <row r="221" spans="1:12" x14ac:dyDescent="0.3">
      <c r="A221">
        <v>80</v>
      </c>
      <c r="B221">
        <v>3</v>
      </c>
      <c r="C221" s="1">
        <v>90</v>
      </c>
      <c r="D221">
        <v>1.1499999999999999</v>
      </c>
      <c r="E221">
        <v>8</v>
      </c>
      <c r="F221">
        <v>8</v>
      </c>
      <c r="G221">
        <v>34.825000000000003</v>
      </c>
      <c r="H221">
        <v>0</v>
      </c>
      <c r="I221">
        <v>0</v>
      </c>
      <c r="J221" s="1">
        <v>1</v>
      </c>
      <c r="L221">
        <f t="shared" si="3"/>
        <v>0</v>
      </c>
    </row>
    <row r="222" spans="1:12" s="2" customFormat="1" x14ac:dyDescent="0.3">
      <c r="A222" s="2">
        <v>80</v>
      </c>
      <c r="B222" s="2">
        <v>3</v>
      </c>
      <c r="C222" s="3">
        <v>100</v>
      </c>
      <c r="D222" s="2">
        <v>1.1499999999999999</v>
      </c>
      <c r="E222" s="2">
        <v>8</v>
      </c>
      <c r="F222" s="2">
        <v>8</v>
      </c>
      <c r="G222" s="2">
        <v>61.232999999999997</v>
      </c>
      <c r="H222" s="2">
        <v>0</v>
      </c>
      <c r="I222" s="2">
        <v>0</v>
      </c>
      <c r="J222" s="3">
        <v>1</v>
      </c>
      <c r="K222" s="5">
        <f>AVERAGE(G213:G222)</f>
        <v>35.290000000000006</v>
      </c>
      <c r="L222" s="2">
        <f t="shared" si="3"/>
        <v>0</v>
      </c>
    </row>
    <row r="223" spans="1:12" x14ac:dyDescent="0.3">
      <c r="A223">
        <v>80</v>
      </c>
      <c r="B223">
        <v>4</v>
      </c>
      <c r="C223" s="1">
        <v>10</v>
      </c>
      <c r="D223">
        <v>1.1499999999999999</v>
      </c>
      <c r="F223">
        <v>6</v>
      </c>
      <c r="G223">
        <v>3600</v>
      </c>
      <c r="H223">
        <v>0</v>
      </c>
      <c r="I223">
        <v>0</v>
      </c>
      <c r="J223" s="1">
        <v>1</v>
      </c>
      <c r="L223">
        <f t="shared" si="3"/>
        <v>100</v>
      </c>
    </row>
    <row r="224" spans="1:12" x14ac:dyDescent="0.3">
      <c r="A224">
        <v>80</v>
      </c>
      <c r="B224">
        <v>4</v>
      </c>
      <c r="C224" s="1">
        <v>20</v>
      </c>
      <c r="D224">
        <v>1.1499999999999999</v>
      </c>
      <c r="E224">
        <v>7</v>
      </c>
      <c r="F224">
        <v>7</v>
      </c>
      <c r="G224">
        <v>14.581</v>
      </c>
      <c r="H224">
        <v>0</v>
      </c>
      <c r="I224">
        <v>0</v>
      </c>
      <c r="J224" s="1">
        <v>1</v>
      </c>
      <c r="L224">
        <f t="shared" si="3"/>
        <v>0</v>
      </c>
    </row>
    <row r="225" spans="1:12" x14ac:dyDescent="0.3">
      <c r="A225">
        <v>80</v>
      </c>
      <c r="B225">
        <v>4</v>
      </c>
      <c r="C225" s="1">
        <v>30</v>
      </c>
      <c r="D225">
        <v>1.1499999999999999</v>
      </c>
      <c r="E225">
        <v>7</v>
      </c>
      <c r="F225">
        <v>7</v>
      </c>
      <c r="G225">
        <v>30.959</v>
      </c>
      <c r="H225">
        <v>0</v>
      </c>
      <c r="I225">
        <v>0</v>
      </c>
      <c r="J225" s="1">
        <v>1</v>
      </c>
      <c r="L225">
        <f t="shared" si="3"/>
        <v>0</v>
      </c>
    </row>
    <row r="226" spans="1:12" x14ac:dyDescent="0.3">
      <c r="A226">
        <v>80</v>
      </c>
      <c r="B226">
        <v>4</v>
      </c>
      <c r="C226" s="1">
        <v>40</v>
      </c>
      <c r="D226">
        <v>1.1499999999999999</v>
      </c>
      <c r="E226">
        <v>7</v>
      </c>
      <c r="F226">
        <v>7</v>
      </c>
      <c r="G226">
        <v>13.468</v>
      </c>
      <c r="H226">
        <v>0</v>
      </c>
      <c r="I226">
        <v>0</v>
      </c>
      <c r="J226" s="1">
        <v>1</v>
      </c>
      <c r="L226">
        <f t="shared" si="3"/>
        <v>0</v>
      </c>
    </row>
    <row r="227" spans="1:12" x14ac:dyDescent="0.3">
      <c r="A227">
        <v>80</v>
      </c>
      <c r="B227">
        <v>4</v>
      </c>
      <c r="C227" s="1">
        <v>50</v>
      </c>
      <c r="D227">
        <v>1.1499999999999999</v>
      </c>
      <c r="E227">
        <v>7</v>
      </c>
      <c r="F227">
        <v>7</v>
      </c>
      <c r="G227">
        <v>13.06</v>
      </c>
      <c r="H227">
        <v>0</v>
      </c>
      <c r="I227">
        <v>0</v>
      </c>
      <c r="J227" s="1">
        <v>1</v>
      </c>
      <c r="L227">
        <f t="shared" si="3"/>
        <v>0</v>
      </c>
    </row>
    <row r="228" spans="1:12" x14ac:dyDescent="0.3">
      <c r="A228">
        <v>80</v>
      </c>
      <c r="B228">
        <v>4</v>
      </c>
      <c r="C228" s="1">
        <v>60</v>
      </c>
      <c r="D228">
        <v>1.1499999999999999</v>
      </c>
      <c r="E228">
        <v>7</v>
      </c>
      <c r="F228">
        <v>7</v>
      </c>
      <c r="G228">
        <v>13.888999999999999</v>
      </c>
      <c r="H228">
        <v>0</v>
      </c>
      <c r="I228">
        <v>0</v>
      </c>
      <c r="J228" s="1">
        <v>1</v>
      </c>
      <c r="L228">
        <f t="shared" si="3"/>
        <v>0</v>
      </c>
    </row>
    <row r="229" spans="1:12" x14ac:dyDescent="0.3">
      <c r="A229">
        <v>80</v>
      </c>
      <c r="B229">
        <v>4</v>
      </c>
      <c r="C229" s="1">
        <v>70</v>
      </c>
      <c r="D229">
        <v>1.1499999999999999</v>
      </c>
      <c r="E229">
        <v>7</v>
      </c>
      <c r="F229">
        <v>7</v>
      </c>
      <c r="G229">
        <v>14.632999999999999</v>
      </c>
      <c r="H229">
        <v>0</v>
      </c>
      <c r="I229">
        <v>0</v>
      </c>
      <c r="J229" s="1">
        <v>1</v>
      </c>
      <c r="L229">
        <f t="shared" si="3"/>
        <v>0</v>
      </c>
    </row>
    <row r="230" spans="1:12" x14ac:dyDescent="0.3">
      <c r="A230">
        <v>80</v>
      </c>
      <c r="B230">
        <v>4</v>
      </c>
      <c r="C230" s="1">
        <v>80</v>
      </c>
      <c r="D230">
        <v>1.1499999999999999</v>
      </c>
      <c r="E230">
        <v>8</v>
      </c>
      <c r="F230">
        <v>8</v>
      </c>
      <c r="G230">
        <v>20.25</v>
      </c>
      <c r="H230">
        <v>0</v>
      </c>
      <c r="I230">
        <v>0</v>
      </c>
      <c r="J230" s="1">
        <v>1</v>
      </c>
      <c r="L230">
        <f t="shared" si="3"/>
        <v>0</v>
      </c>
    </row>
    <row r="231" spans="1:12" x14ac:dyDescent="0.3">
      <c r="A231">
        <v>80</v>
      </c>
      <c r="B231">
        <v>4</v>
      </c>
      <c r="C231" s="1">
        <v>90</v>
      </c>
      <c r="D231">
        <v>1.1499999999999999</v>
      </c>
      <c r="E231">
        <v>7</v>
      </c>
      <c r="F231">
        <v>7</v>
      </c>
      <c r="G231">
        <v>54.77</v>
      </c>
      <c r="H231">
        <v>0</v>
      </c>
      <c r="I231">
        <v>0</v>
      </c>
      <c r="J231" s="1">
        <v>1</v>
      </c>
      <c r="L231">
        <f t="shared" si="3"/>
        <v>0</v>
      </c>
    </row>
    <row r="232" spans="1:12" s="2" customFormat="1" x14ac:dyDescent="0.3">
      <c r="A232" s="2">
        <v>80</v>
      </c>
      <c r="B232" s="2">
        <v>4</v>
      </c>
      <c r="C232" s="3">
        <v>100</v>
      </c>
      <c r="D232" s="2">
        <v>1.1499999999999999</v>
      </c>
      <c r="E232" s="2">
        <v>7</v>
      </c>
      <c r="F232" s="2">
        <v>7</v>
      </c>
      <c r="G232" s="2">
        <v>19.234999999999999</v>
      </c>
      <c r="H232" s="2">
        <v>0</v>
      </c>
      <c r="I232" s="2">
        <v>0</v>
      </c>
      <c r="J232" s="3">
        <v>1</v>
      </c>
      <c r="K232" s="5">
        <f t="shared" si="4"/>
        <v>379.48449999999997</v>
      </c>
      <c r="L232" s="2">
        <f t="shared" si="3"/>
        <v>0</v>
      </c>
    </row>
    <row r="233" spans="1:12" x14ac:dyDescent="0.3">
      <c r="A233">
        <v>80</v>
      </c>
      <c r="B233">
        <v>5</v>
      </c>
      <c r="C233" s="1">
        <v>10</v>
      </c>
      <c r="D233">
        <v>1.1499999999999999</v>
      </c>
      <c r="E233">
        <v>6</v>
      </c>
      <c r="F233">
        <v>6</v>
      </c>
      <c r="G233">
        <v>9.5419999999999998</v>
      </c>
      <c r="H233">
        <v>0</v>
      </c>
      <c r="I233">
        <v>0</v>
      </c>
      <c r="J233" s="1">
        <v>1</v>
      </c>
      <c r="L233">
        <f t="shared" si="3"/>
        <v>0</v>
      </c>
    </row>
    <row r="234" spans="1:12" x14ac:dyDescent="0.3">
      <c r="A234">
        <v>80</v>
      </c>
      <c r="B234">
        <v>5</v>
      </c>
      <c r="C234" s="1">
        <v>20</v>
      </c>
      <c r="D234">
        <v>1.1499999999999999</v>
      </c>
      <c r="E234">
        <v>6</v>
      </c>
      <c r="F234">
        <v>6</v>
      </c>
      <c r="G234">
        <v>9.5559999999999992</v>
      </c>
      <c r="H234">
        <v>0</v>
      </c>
      <c r="I234">
        <v>0</v>
      </c>
      <c r="J234" s="1">
        <v>1</v>
      </c>
      <c r="L234">
        <f t="shared" si="3"/>
        <v>0</v>
      </c>
    </row>
    <row r="235" spans="1:12" x14ac:dyDescent="0.3">
      <c r="A235">
        <v>80</v>
      </c>
      <c r="B235">
        <v>5</v>
      </c>
      <c r="C235" s="1">
        <v>30</v>
      </c>
      <c r="D235">
        <v>1.1499999999999999</v>
      </c>
      <c r="E235">
        <v>6</v>
      </c>
      <c r="F235">
        <v>6</v>
      </c>
      <c r="G235">
        <v>9.7579999999999991</v>
      </c>
      <c r="H235">
        <v>0</v>
      </c>
      <c r="I235">
        <v>0</v>
      </c>
      <c r="J235" s="1">
        <v>1</v>
      </c>
      <c r="L235">
        <f t="shared" si="3"/>
        <v>0</v>
      </c>
    </row>
    <row r="236" spans="1:12" x14ac:dyDescent="0.3">
      <c r="A236">
        <v>80</v>
      </c>
      <c r="B236">
        <v>5</v>
      </c>
      <c r="C236" s="1">
        <v>40</v>
      </c>
      <c r="D236">
        <v>1.1499999999999999</v>
      </c>
      <c r="E236">
        <v>6</v>
      </c>
      <c r="F236">
        <v>6</v>
      </c>
      <c r="G236">
        <v>8.6929999999999996</v>
      </c>
      <c r="H236">
        <v>0</v>
      </c>
      <c r="I236">
        <v>0</v>
      </c>
      <c r="J236" s="1">
        <v>1</v>
      </c>
      <c r="L236">
        <f t="shared" si="3"/>
        <v>0</v>
      </c>
    </row>
    <row r="237" spans="1:12" x14ac:dyDescent="0.3">
      <c r="A237">
        <v>80</v>
      </c>
      <c r="B237">
        <v>5</v>
      </c>
      <c r="C237" s="1">
        <v>50</v>
      </c>
      <c r="D237">
        <v>1.1499999999999999</v>
      </c>
      <c r="E237">
        <v>6</v>
      </c>
      <c r="F237">
        <v>6</v>
      </c>
      <c r="G237">
        <v>8.8800000000000008</v>
      </c>
      <c r="H237">
        <v>0</v>
      </c>
      <c r="I237">
        <v>0</v>
      </c>
      <c r="J237" s="1">
        <v>1</v>
      </c>
      <c r="L237">
        <f t="shared" si="3"/>
        <v>0</v>
      </c>
    </row>
    <row r="238" spans="1:12" x14ac:dyDescent="0.3">
      <c r="A238">
        <v>80</v>
      </c>
      <c r="B238">
        <v>5</v>
      </c>
      <c r="C238" s="1">
        <v>60</v>
      </c>
      <c r="D238">
        <v>1.1499999999999999</v>
      </c>
      <c r="E238">
        <v>6</v>
      </c>
      <c r="F238">
        <v>6</v>
      </c>
      <c r="G238">
        <v>8.7230000000000008</v>
      </c>
      <c r="H238">
        <v>0</v>
      </c>
      <c r="I238">
        <v>0</v>
      </c>
      <c r="J238" s="1">
        <v>1</v>
      </c>
      <c r="L238">
        <f t="shared" si="3"/>
        <v>0</v>
      </c>
    </row>
    <row r="239" spans="1:12" x14ac:dyDescent="0.3">
      <c r="A239">
        <v>80</v>
      </c>
      <c r="B239">
        <v>5</v>
      </c>
      <c r="C239" s="1">
        <v>70</v>
      </c>
      <c r="D239">
        <v>1.1499999999999999</v>
      </c>
      <c r="E239">
        <v>6</v>
      </c>
      <c r="F239">
        <v>6</v>
      </c>
      <c r="G239">
        <v>12.305</v>
      </c>
      <c r="H239">
        <v>0</v>
      </c>
      <c r="I239">
        <v>0</v>
      </c>
      <c r="J239" s="1">
        <v>1</v>
      </c>
      <c r="L239">
        <f t="shared" si="3"/>
        <v>0</v>
      </c>
    </row>
    <row r="240" spans="1:12" x14ac:dyDescent="0.3">
      <c r="A240">
        <v>80</v>
      </c>
      <c r="B240">
        <v>5</v>
      </c>
      <c r="C240" s="1">
        <v>80</v>
      </c>
      <c r="D240">
        <v>1.1499999999999999</v>
      </c>
      <c r="E240">
        <v>6</v>
      </c>
      <c r="F240">
        <v>6</v>
      </c>
      <c r="G240">
        <v>10.085000000000001</v>
      </c>
      <c r="H240">
        <v>0</v>
      </c>
      <c r="I240">
        <v>0</v>
      </c>
      <c r="J240" s="1">
        <v>1</v>
      </c>
      <c r="L240">
        <f t="shared" si="3"/>
        <v>0</v>
      </c>
    </row>
    <row r="241" spans="1:12" x14ac:dyDescent="0.3">
      <c r="A241">
        <v>80</v>
      </c>
      <c r="B241">
        <v>5</v>
      </c>
      <c r="C241" s="1">
        <v>90</v>
      </c>
      <c r="D241">
        <v>1.1499999999999999</v>
      </c>
      <c r="E241">
        <v>6</v>
      </c>
      <c r="F241">
        <v>6</v>
      </c>
      <c r="G241">
        <v>9.8650000000000002</v>
      </c>
      <c r="H241">
        <v>0</v>
      </c>
      <c r="I241">
        <v>0</v>
      </c>
      <c r="J241" s="1">
        <v>1</v>
      </c>
      <c r="L241">
        <f t="shared" si="3"/>
        <v>0</v>
      </c>
    </row>
    <row r="242" spans="1:12" s="2" customFormat="1" x14ac:dyDescent="0.3">
      <c r="A242" s="2">
        <v>80</v>
      </c>
      <c r="B242" s="2">
        <v>5</v>
      </c>
      <c r="C242" s="3">
        <v>100</v>
      </c>
      <c r="D242" s="2">
        <v>1.1499999999999999</v>
      </c>
      <c r="E242" s="2">
        <v>6</v>
      </c>
      <c r="F242" s="2">
        <v>6</v>
      </c>
      <c r="G242" s="2">
        <v>11.138999999999999</v>
      </c>
      <c r="H242" s="2">
        <v>0</v>
      </c>
      <c r="I242" s="2">
        <v>0</v>
      </c>
      <c r="J242" s="3">
        <v>1</v>
      </c>
      <c r="K242" s="5">
        <f t="shared" si="4"/>
        <v>9.8545999999999996</v>
      </c>
      <c r="L242" s="2">
        <f t="shared" si="3"/>
        <v>0</v>
      </c>
    </row>
    <row r="243" spans="1:12" x14ac:dyDescent="0.3">
      <c r="D243">
        <f>AVERAGE(D3:D242)</f>
        <v>1.1500000000000021</v>
      </c>
      <c r="E243">
        <f t="shared" ref="E243:G243" si="5">AVERAGE(E3:E242)</f>
        <v>4.1434599156118139</v>
      </c>
      <c r="F243">
        <f t="shared" si="5"/>
        <v>4.1791666666666663</v>
      </c>
      <c r="G243">
        <f t="shared" si="5"/>
        <v>105.43933333333332</v>
      </c>
      <c r="H243">
        <f t="shared" ref="H243:J243" si="6">SUM(H3:H242)</f>
        <v>12</v>
      </c>
      <c r="I243">
        <f t="shared" si="6"/>
        <v>82</v>
      </c>
      <c r="J243">
        <f t="shared" si="6"/>
        <v>340</v>
      </c>
      <c r="L243">
        <f>COUNTIF(L3:L242,"&gt;0")</f>
        <v>4</v>
      </c>
    </row>
    <row r="323" spans="4:12" x14ac:dyDescent="0.3">
      <c r="D323" s="6">
        <f>AVERAGE(D12:D242)</f>
        <v>1.150000000000003</v>
      </c>
      <c r="E323">
        <f>SUM(E12:E242)</f>
        <v>964</v>
      </c>
      <c r="F323">
        <f>SUM(F12:F242)</f>
        <v>985</v>
      </c>
      <c r="K323" s="4">
        <f>AVERAGE(K12:K242)</f>
        <v>105.43933333333335</v>
      </c>
      <c r="L323">
        <f>COUNTIF(L12:L242,"&gt;0")</f>
        <v>4</v>
      </c>
    </row>
  </sheetData>
  <autoFilter ref="K1:K323" xr:uid="{3BDC2A91-F62C-482F-8F5A-8E214630FF7D}"/>
  <phoneticPr fontId="1" type="noConversion"/>
  <conditionalFormatting sqref="L2:L242">
    <cfRule type="containsText" dxfId="44" priority="2" operator="containsText" text="FALSE">
      <formula>NOT(ISERROR(SEARCH("FALSE",L2)))</formula>
    </cfRule>
  </conditionalFormatting>
  <conditionalFormatting sqref="M1 M243:M322">
    <cfRule type="containsText" dxfId="43" priority="1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8CE5-077F-47D6-9092-55C4F1E25C44}">
  <dimension ref="A1:L163"/>
  <sheetViews>
    <sheetView zoomScale="70" zoomScaleNormal="70" workbookViewId="0">
      <selection activeCell="N40" sqref="N40"/>
    </sheetView>
  </sheetViews>
  <sheetFormatPr defaultRowHeight="16.5" x14ac:dyDescent="0.3"/>
  <cols>
    <col min="1" max="1" width="8.875" bestFit="1" customWidth="1"/>
    <col min="2" max="2" width="13.75" bestFit="1" customWidth="1"/>
    <col min="5" max="5" width="14.75" bestFit="1" customWidth="1"/>
    <col min="6" max="6" width="12.625" bestFit="1" customWidth="1"/>
    <col min="7" max="7" width="9.75" style="1" bestFit="1" customWidth="1"/>
    <col min="8" max="8" width="9" style="28" customWidth="1"/>
    <col min="9" max="9" width="13" style="4" bestFit="1" customWidth="1"/>
    <col min="10" max="10" width="12.5" bestFit="1" customWidth="1"/>
    <col min="11" max="11" width="13.125" bestFit="1" customWidth="1"/>
    <col min="12" max="12" width="12.375" bestFit="1" customWidth="1"/>
  </cols>
  <sheetData>
    <row r="1" spans="1:12" s="13" customFormat="1" x14ac:dyDescent="0.3">
      <c r="C1" s="12"/>
      <c r="D1" s="13" t="s">
        <v>18</v>
      </c>
      <c r="G1" s="12"/>
      <c r="H1" s="24"/>
      <c r="I1" s="11"/>
    </row>
    <row r="2" spans="1:12" s="9" customFormat="1" x14ac:dyDescent="0.3">
      <c r="A2" s="9" t="s">
        <v>8</v>
      </c>
      <c r="B2" s="9" t="s">
        <v>9</v>
      </c>
      <c r="C2" s="17" t="s">
        <v>10</v>
      </c>
      <c r="D2" s="9" t="s">
        <v>11</v>
      </c>
      <c r="E2" s="9" t="s">
        <v>12</v>
      </c>
      <c r="F2" s="9" t="s">
        <v>19</v>
      </c>
      <c r="G2" s="17" t="s">
        <v>14</v>
      </c>
      <c r="H2" s="17" t="s">
        <v>20</v>
      </c>
      <c r="I2" s="15" t="s">
        <v>23</v>
      </c>
      <c r="J2" s="9" t="s">
        <v>21</v>
      </c>
      <c r="K2" s="9" t="s">
        <v>22</v>
      </c>
      <c r="L2" s="9" t="s">
        <v>24</v>
      </c>
    </row>
    <row r="3" spans="1:12" x14ac:dyDescent="0.3">
      <c r="A3">
        <v>100</v>
      </c>
      <c r="B3">
        <v>20</v>
      </c>
      <c r="C3" s="1">
        <v>110</v>
      </c>
      <c r="D3">
        <v>1.1499999999999999</v>
      </c>
      <c r="E3">
        <v>23</v>
      </c>
      <c r="F3">
        <v>0</v>
      </c>
      <c r="G3" s="1">
        <v>8.0000000000000002E-3</v>
      </c>
      <c r="H3" s="23">
        <f>IF(E3=large_size_ATCSQ!F3,1,(E3-large_size_ATCSQ!F3)/E3)</f>
        <v>1</v>
      </c>
      <c r="J3" s="21"/>
      <c r="K3" s="21"/>
    </row>
    <row r="4" spans="1:12" x14ac:dyDescent="0.3">
      <c r="A4">
        <v>100</v>
      </c>
      <c r="B4">
        <v>20</v>
      </c>
      <c r="C4" s="1">
        <v>120</v>
      </c>
      <c r="D4">
        <v>1.1499999999999999</v>
      </c>
      <c r="E4">
        <v>22</v>
      </c>
      <c r="F4" t="b">
        <v>1</v>
      </c>
      <c r="G4" s="1">
        <v>8.0000000000000002E-3</v>
      </c>
      <c r="H4" s="23">
        <f>IF(E4=large_size_ATCSQ!F4,1,(E4-large_size_ATCSQ!F4)/E4)</f>
        <v>0.95454545454545459</v>
      </c>
      <c r="J4" s="21"/>
      <c r="K4" s="21"/>
    </row>
    <row r="5" spans="1:12" x14ac:dyDescent="0.3">
      <c r="A5">
        <v>100</v>
      </c>
      <c r="B5">
        <v>20</v>
      </c>
      <c r="C5" s="1">
        <v>130</v>
      </c>
      <c r="D5">
        <v>1.1499999999999999</v>
      </c>
      <c r="E5">
        <v>24</v>
      </c>
      <c r="F5">
        <v>0</v>
      </c>
      <c r="G5" s="1">
        <v>8.0000000000000002E-3</v>
      </c>
      <c r="H5" s="23">
        <f>IF(E5=large_size_ATCSQ!F5,1,(E5-large_size_ATCSQ!F5)/E5)</f>
        <v>1</v>
      </c>
      <c r="J5" s="21"/>
      <c r="K5" s="21"/>
    </row>
    <row r="6" spans="1:12" x14ac:dyDescent="0.3">
      <c r="A6">
        <v>100</v>
      </c>
      <c r="B6">
        <v>20</v>
      </c>
      <c r="C6" s="1">
        <v>140</v>
      </c>
      <c r="D6">
        <v>1.1499999999999999</v>
      </c>
      <c r="E6">
        <v>17</v>
      </c>
      <c r="F6" t="b">
        <v>1</v>
      </c>
      <c r="G6" s="1">
        <v>8.0000000000000002E-3</v>
      </c>
      <c r="H6" s="23">
        <f>IF(E6=large_size_ATCSQ!F6,1,(E6-large_size_ATCSQ!F6)/E6)</f>
        <v>0.94117647058823528</v>
      </c>
      <c r="J6" s="21"/>
      <c r="K6" s="21"/>
    </row>
    <row r="7" spans="1:12" x14ac:dyDescent="0.3">
      <c r="A7">
        <v>100</v>
      </c>
      <c r="B7">
        <v>20</v>
      </c>
      <c r="C7" s="1">
        <v>150</v>
      </c>
      <c r="D7">
        <v>1.1499999999999999</v>
      </c>
      <c r="E7">
        <v>21</v>
      </c>
      <c r="F7" t="b">
        <v>1</v>
      </c>
      <c r="G7" s="1">
        <v>8.0000000000000002E-3</v>
      </c>
      <c r="H7" s="23">
        <f>IF(E7=large_size_ATCSQ!F7,1,(E7-large_size_ATCSQ!F7)/E7)</f>
        <v>0.95238095238095233</v>
      </c>
      <c r="J7" s="21"/>
      <c r="K7" s="21"/>
    </row>
    <row r="8" spans="1:12" x14ac:dyDescent="0.3">
      <c r="A8">
        <v>100</v>
      </c>
      <c r="B8">
        <v>20</v>
      </c>
      <c r="C8" s="1">
        <v>160</v>
      </c>
      <c r="D8">
        <v>1.1499999999999999</v>
      </c>
      <c r="E8">
        <v>19</v>
      </c>
      <c r="F8" t="b">
        <v>1</v>
      </c>
      <c r="G8" s="1">
        <v>7.0000000000000001E-3</v>
      </c>
      <c r="H8" s="23">
        <f>IF(E8=large_size_ATCSQ!F8,1,(E8-large_size_ATCSQ!F8)/E8)</f>
        <v>0.94736842105263153</v>
      </c>
      <c r="J8" s="21"/>
      <c r="K8" s="21"/>
    </row>
    <row r="9" spans="1:12" x14ac:dyDescent="0.3">
      <c r="A9">
        <v>100</v>
      </c>
      <c r="B9">
        <v>20</v>
      </c>
      <c r="C9" s="1">
        <v>170</v>
      </c>
      <c r="D9">
        <v>1.1499999999999999</v>
      </c>
      <c r="E9">
        <v>20</v>
      </c>
      <c r="F9" t="b">
        <v>1</v>
      </c>
      <c r="G9" s="1">
        <v>8.0000000000000002E-3</v>
      </c>
      <c r="H9" s="23">
        <f>IF(E9=large_size_ATCSQ!F9,1,(E9-large_size_ATCSQ!F9)/E9)</f>
        <v>0.95</v>
      </c>
      <c r="J9" s="21"/>
      <c r="K9" s="21"/>
    </row>
    <row r="10" spans="1:12" x14ac:dyDescent="0.3">
      <c r="A10">
        <v>100</v>
      </c>
      <c r="B10">
        <v>20</v>
      </c>
      <c r="C10" s="1">
        <v>180</v>
      </c>
      <c r="D10">
        <v>1.1499999999999999</v>
      </c>
      <c r="E10">
        <v>16</v>
      </c>
      <c r="F10" t="b">
        <v>1</v>
      </c>
      <c r="G10" s="1">
        <v>8.0000000000000002E-3</v>
      </c>
      <c r="H10" s="23">
        <f>IF(E10=large_size_ATCSQ!F10,1,(E10-large_size_ATCSQ!F10)/E10)</f>
        <v>0.9375</v>
      </c>
      <c r="J10" s="21"/>
      <c r="K10" s="21"/>
    </row>
    <row r="11" spans="1:12" x14ac:dyDescent="0.3">
      <c r="A11">
        <v>100</v>
      </c>
      <c r="B11">
        <v>20</v>
      </c>
      <c r="C11" s="1">
        <v>190</v>
      </c>
      <c r="D11">
        <v>1.1499999999999999</v>
      </c>
      <c r="E11">
        <v>24</v>
      </c>
      <c r="F11" t="b">
        <v>1</v>
      </c>
      <c r="G11" s="1">
        <v>8.0000000000000002E-3</v>
      </c>
      <c r="H11" s="23">
        <f>IF(E11=large_size_ATCSQ!F11,1,(E11-large_size_ATCSQ!F11)/E11)</f>
        <v>0.95833333333333337</v>
      </c>
      <c r="J11" s="21"/>
      <c r="K11" s="21"/>
    </row>
    <row r="12" spans="1:12" s="2" customFormat="1" x14ac:dyDescent="0.3">
      <c r="A12" s="2">
        <v>100</v>
      </c>
      <c r="B12" s="2">
        <v>20</v>
      </c>
      <c r="C12" s="3">
        <v>200</v>
      </c>
      <c r="D12" s="2">
        <v>1.1499999999999999</v>
      </c>
      <c r="E12" s="2">
        <v>17</v>
      </c>
      <c r="F12" s="2" t="b">
        <v>1</v>
      </c>
      <c r="G12" s="3">
        <v>8.0000000000000002E-3</v>
      </c>
      <c r="H12" s="27">
        <f>IF(E12=large_size_ATCSQ!F12,1,(E12-large_size_ATCSQ!F12)/E12)</f>
        <v>0.94117647058823528</v>
      </c>
      <c r="I12" s="5">
        <f>AVERAGE(G3:G12)</f>
        <v>7.9000000000000008E-3</v>
      </c>
      <c r="J12" s="22" cm="1">
        <f t="array" ref="J12">SUM(--(F3:F12))/10</f>
        <v>0.8</v>
      </c>
      <c r="K12" s="22">
        <f>AVERAGE(H3:H12)</f>
        <v>0.95824811024888434</v>
      </c>
      <c r="L12" s="2" cm="1">
        <f t="array" ref="L12">SUMPRODUCT(E3:E12-large_size!F3:F12)/10</f>
        <v>19.899999999999999</v>
      </c>
    </row>
    <row r="13" spans="1:12" x14ac:dyDescent="0.3">
      <c r="A13">
        <v>100</v>
      </c>
      <c r="B13">
        <v>25</v>
      </c>
      <c r="C13" s="1">
        <v>110</v>
      </c>
      <c r="D13">
        <v>1.1499999999999999</v>
      </c>
      <c r="E13">
        <v>27</v>
      </c>
      <c r="F13">
        <v>0</v>
      </c>
      <c r="G13" s="1">
        <v>8.0000000000000002E-3</v>
      </c>
      <c r="H13" s="23">
        <f>IF(E13=large_size_ATCSQ!F13,1,(E13-large_size_ATCSQ!F13)/E13)</f>
        <v>1</v>
      </c>
      <c r="J13" s="21"/>
      <c r="K13" s="21"/>
    </row>
    <row r="14" spans="1:12" x14ac:dyDescent="0.3">
      <c r="A14">
        <v>100</v>
      </c>
      <c r="B14">
        <v>25</v>
      </c>
      <c r="C14" s="1">
        <v>120</v>
      </c>
      <c r="D14">
        <v>1.1499999999999999</v>
      </c>
      <c r="E14">
        <v>24</v>
      </c>
      <c r="F14">
        <v>0</v>
      </c>
      <c r="G14" s="1">
        <v>8.0000000000000002E-3</v>
      </c>
      <c r="H14" s="23">
        <f>IF(E14=large_size_ATCSQ!F14,1,(E14-large_size_ATCSQ!F14)/E14)</f>
        <v>1</v>
      </c>
      <c r="J14" s="21"/>
      <c r="K14" s="21"/>
    </row>
    <row r="15" spans="1:12" x14ac:dyDescent="0.3">
      <c r="A15">
        <v>100</v>
      </c>
      <c r="B15">
        <v>25</v>
      </c>
      <c r="C15" s="1">
        <v>130</v>
      </c>
      <c r="D15">
        <v>1.1499999999999999</v>
      </c>
      <c r="E15">
        <v>24</v>
      </c>
      <c r="F15">
        <v>0</v>
      </c>
      <c r="G15" s="1">
        <v>8.0000000000000002E-3</v>
      </c>
      <c r="H15" s="23">
        <f>IF(E15=large_size_ATCSQ!F15,1,(E15-large_size_ATCSQ!F15)/E15)</f>
        <v>1</v>
      </c>
      <c r="J15" s="21"/>
      <c r="K15" s="21"/>
    </row>
    <row r="16" spans="1:12" x14ac:dyDescent="0.3">
      <c r="A16">
        <v>100</v>
      </c>
      <c r="B16">
        <v>25</v>
      </c>
      <c r="C16" s="1">
        <v>140</v>
      </c>
      <c r="D16">
        <v>1.1499999999999999</v>
      </c>
      <c r="E16">
        <v>19</v>
      </c>
      <c r="F16" t="b">
        <v>1</v>
      </c>
      <c r="G16" s="1">
        <v>8.0000000000000002E-3</v>
      </c>
      <c r="H16" s="23">
        <f>IF(E16=large_size_ATCSQ!F16,1,(E16-large_size_ATCSQ!F16)/E16)</f>
        <v>0.94736842105263153</v>
      </c>
      <c r="J16" s="21"/>
      <c r="K16" s="21"/>
    </row>
    <row r="17" spans="1:12" x14ac:dyDescent="0.3">
      <c r="A17">
        <v>100</v>
      </c>
      <c r="B17">
        <v>25</v>
      </c>
      <c r="C17" s="1">
        <v>150</v>
      </c>
      <c r="D17">
        <v>1.1499999999999999</v>
      </c>
      <c r="E17">
        <v>20</v>
      </c>
      <c r="F17">
        <v>0</v>
      </c>
      <c r="G17" s="1">
        <v>8.0000000000000002E-3</v>
      </c>
      <c r="H17" s="23">
        <f>IF(E17=large_size_ATCSQ!F17,1,(E17-large_size_ATCSQ!F17)/E17)</f>
        <v>1</v>
      </c>
      <c r="J17" s="21"/>
      <c r="K17" s="21"/>
    </row>
    <row r="18" spans="1:12" x14ac:dyDescent="0.3">
      <c r="A18">
        <v>100</v>
      </c>
      <c r="B18">
        <v>25</v>
      </c>
      <c r="C18" s="1">
        <v>160</v>
      </c>
      <c r="D18">
        <v>1.1499999999999999</v>
      </c>
      <c r="E18">
        <v>22</v>
      </c>
      <c r="F18" t="b">
        <v>1</v>
      </c>
      <c r="G18" s="1">
        <v>8.0000000000000002E-3</v>
      </c>
      <c r="H18" s="23">
        <f>IF(E18=large_size_ATCSQ!F18,1,(E18-large_size_ATCSQ!F18)/E18)</f>
        <v>0.95454545454545459</v>
      </c>
      <c r="J18" s="21"/>
      <c r="K18" s="21"/>
    </row>
    <row r="19" spans="1:12" x14ac:dyDescent="0.3">
      <c r="A19">
        <v>100</v>
      </c>
      <c r="B19">
        <v>25</v>
      </c>
      <c r="C19" s="1">
        <v>170</v>
      </c>
      <c r="D19">
        <v>1.1499999999999999</v>
      </c>
      <c r="E19">
        <v>23</v>
      </c>
      <c r="F19" t="b">
        <v>1</v>
      </c>
      <c r="G19" s="1">
        <v>8.9999999999999993E-3</v>
      </c>
      <c r="H19" s="23">
        <f>IF(E19=large_size_ATCSQ!F19,1,(E19-large_size_ATCSQ!F19)/E19)</f>
        <v>0.95652173913043481</v>
      </c>
      <c r="J19" s="21"/>
      <c r="K19" s="21"/>
    </row>
    <row r="20" spans="1:12" x14ac:dyDescent="0.3">
      <c r="A20">
        <v>100</v>
      </c>
      <c r="B20">
        <v>25</v>
      </c>
      <c r="C20" s="1">
        <v>180</v>
      </c>
      <c r="D20">
        <v>1.1499999999999999</v>
      </c>
      <c r="E20">
        <v>19</v>
      </c>
      <c r="F20" t="b">
        <v>1</v>
      </c>
      <c r="G20" s="1">
        <v>8.9999999999999993E-3</v>
      </c>
      <c r="H20" s="23">
        <f>IF(E20=large_size_ATCSQ!F20,1,(E20-large_size_ATCSQ!F20)/E20)</f>
        <v>0.94736842105263153</v>
      </c>
      <c r="J20" s="21"/>
      <c r="K20" s="21"/>
    </row>
    <row r="21" spans="1:12" x14ac:dyDescent="0.3">
      <c r="A21">
        <v>100</v>
      </c>
      <c r="B21">
        <v>25</v>
      </c>
      <c r="C21" s="1">
        <v>190</v>
      </c>
      <c r="D21">
        <v>1.1499999999999999</v>
      </c>
      <c r="E21">
        <v>26</v>
      </c>
      <c r="F21" t="b">
        <v>1</v>
      </c>
      <c r="G21" s="1">
        <v>7.0000000000000001E-3</v>
      </c>
      <c r="H21" s="23">
        <f>IF(E21=large_size_ATCSQ!F21,1,(E21-large_size_ATCSQ!F21)/E21)</f>
        <v>0.96153846153846156</v>
      </c>
      <c r="J21" s="21"/>
      <c r="K21" s="21"/>
    </row>
    <row r="22" spans="1:12" s="2" customFormat="1" x14ac:dyDescent="0.3">
      <c r="A22" s="2">
        <v>100</v>
      </c>
      <c r="B22" s="2">
        <v>25</v>
      </c>
      <c r="C22" s="3">
        <v>200</v>
      </c>
      <c r="D22" s="2">
        <v>1.1499999999999999</v>
      </c>
      <c r="E22" s="2">
        <v>17</v>
      </c>
      <c r="F22" s="2" t="b">
        <v>1</v>
      </c>
      <c r="G22" s="3">
        <v>7.0000000000000001E-3</v>
      </c>
      <c r="H22" s="27">
        <f>IF(E22=large_size_ATCSQ!F22,1,(E22-large_size_ATCSQ!F22)/E22)</f>
        <v>0.94117647058823528</v>
      </c>
      <c r="I22" s="5">
        <f>AVERAGE(G13:G22)</f>
        <v>8.0000000000000019E-3</v>
      </c>
      <c r="J22" s="22" cm="1">
        <f t="array" ref="J22">SUM(--(F13:F22))/10</f>
        <v>0.6</v>
      </c>
      <c r="K22" s="22">
        <f>AVERAGE(H13:H22)</f>
        <v>0.97085189679078499</v>
      </c>
      <c r="L22" s="2" cm="1">
        <f t="array" ref="L22">SUMPRODUCT(E13:E22-large_size!F13:F22)/10</f>
        <v>22.1</v>
      </c>
    </row>
    <row r="23" spans="1:12" x14ac:dyDescent="0.3">
      <c r="A23">
        <v>200</v>
      </c>
      <c r="B23">
        <v>20</v>
      </c>
      <c r="C23" s="1">
        <v>110</v>
      </c>
      <c r="D23">
        <v>1.1499999999999999</v>
      </c>
      <c r="E23">
        <v>38</v>
      </c>
      <c r="F23" t="b">
        <v>1</v>
      </c>
      <c r="G23" s="1">
        <v>3.1E-2</v>
      </c>
      <c r="H23" s="23">
        <f>IF(E23=large_size_ATCSQ!F23,1,(E23-large_size_ATCSQ!F23)/E23)</f>
        <v>0.97368421052631582</v>
      </c>
      <c r="J23" s="21"/>
      <c r="K23" s="21"/>
    </row>
    <row r="24" spans="1:12" x14ac:dyDescent="0.3">
      <c r="A24">
        <v>200</v>
      </c>
      <c r="B24">
        <v>20</v>
      </c>
      <c r="C24" s="1">
        <v>120</v>
      </c>
      <c r="D24">
        <v>1.1499999999999999</v>
      </c>
      <c r="E24">
        <v>33</v>
      </c>
      <c r="F24" t="b">
        <v>1</v>
      </c>
      <c r="G24" s="1">
        <v>0.03</v>
      </c>
      <c r="H24" s="23">
        <f>IF(E24=large_size_ATCSQ!F24,1,(E24-large_size_ATCSQ!F24)/E24)</f>
        <v>0.96969696969696972</v>
      </c>
      <c r="J24" s="21"/>
      <c r="K24" s="21"/>
    </row>
    <row r="25" spans="1:12" x14ac:dyDescent="0.3">
      <c r="A25">
        <v>200</v>
      </c>
      <c r="B25">
        <v>20</v>
      </c>
      <c r="C25" s="1">
        <v>130</v>
      </c>
      <c r="D25">
        <v>1.1499999999999999</v>
      </c>
      <c r="E25">
        <v>35</v>
      </c>
      <c r="F25" t="b">
        <v>1</v>
      </c>
      <c r="G25" s="1">
        <v>3.1E-2</v>
      </c>
      <c r="H25" s="23">
        <f>IF(E25=large_size_ATCSQ!F25,1,(E25-large_size_ATCSQ!F25)/E25)</f>
        <v>0.97142857142857142</v>
      </c>
      <c r="J25" s="21"/>
      <c r="K25" s="21"/>
    </row>
    <row r="26" spans="1:12" x14ac:dyDescent="0.3">
      <c r="A26">
        <v>200</v>
      </c>
      <c r="B26">
        <v>20</v>
      </c>
      <c r="C26" s="1">
        <v>140</v>
      </c>
      <c r="D26">
        <v>1.1499999999999999</v>
      </c>
      <c r="E26">
        <v>34</v>
      </c>
      <c r="F26" t="b">
        <v>1</v>
      </c>
      <c r="G26" s="1">
        <v>3.2000000000000001E-2</v>
      </c>
      <c r="H26" s="23">
        <f>IF(E26=large_size_ATCSQ!F26,1,(E26-large_size_ATCSQ!F26)/E26)</f>
        <v>0.97058823529411764</v>
      </c>
      <c r="J26" s="21"/>
      <c r="K26" s="21"/>
    </row>
    <row r="27" spans="1:12" x14ac:dyDescent="0.3">
      <c r="A27">
        <v>200</v>
      </c>
      <c r="B27">
        <v>20</v>
      </c>
      <c r="C27" s="1">
        <v>150</v>
      </c>
      <c r="D27">
        <v>1.1499999999999999</v>
      </c>
      <c r="E27">
        <v>39</v>
      </c>
      <c r="F27" t="b">
        <v>1</v>
      </c>
      <c r="G27" s="1">
        <v>3.1E-2</v>
      </c>
      <c r="H27" s="23">
        <f>IF(E27=large_size_ATCSQ!F27,1,(E27-large_size_ATCSQ!F27)/E27)</f>
        <v>0.97435897435897434</v>
      </c>
      <c r="J27" s="21"/>
      <c r="K27" s="21"/>
    </row>
    <row r="28" spans="1:12" x14ac:dyDescent="0.3">
      <c r="A28">
        <v>200</v>
      </c>
      <c r="B28">
        <v>20</v>
      </c>
      <c r="C28" s="1">
        <v>160</v>
      </c>
      <c r="D28">
        <v>1.1499999999999999</v>
      </c>
      <c r="E28">
        <v>40</v>
      </c>
      <c r="F28" t="b">
        <v>1</v>
      </c>
      <c r="G28" s="1">
        <v>3.2000000000000001E-2</v>
      </c>
      <c r="H28" s="23">
        <f>IF(E28=large_size_ATCSQ!F28,1,(E28-large_size_ATCSQ!F28)/E28)</f>
        <v>0.97499999999999998</v>
      </c>
      <c r="J28" s="21"/>
      <c r="K28" s="21"/>
    </row>
    <row r="29" spans="1:12" x14ac:dyDescent="0.3">
      <c r="A29">
        <v>200</v>
      </c>
      <c r="B29">
        <v>20</v>
      </c>
      <c r="C29" s="1">
        <v>170</v>
      </c>
      <c r="D29">
        <v>1.1499999999999999</v>
      </c>
      <c r="E29">
        <v>33</v>
      </c>
      <c r="F29" t="b">
        <v>1</v>
      </c>
      <c r="G29" s="1">
        <v>3.1E-2</v>
      </c>
      <c r="H29" s="23">
        <f>IF(E29=large_size_ATCSQ!F29,1,(E29-large_size_ATCSQ!F29)/E29)</f>
        <v>0.96969696969696972</v>
      </c>
      <c r="J29" s="21"/>
      <c r="K29" s="21"/>
    </row>
    <row r="30" spans="1:12" x14ac:dyDescent="0.3">
      <c r="A30">
        <v>200</v>
      </c>
      <c r="B30">
        <v>20</v>
      </c>
      <c r="C30" s="1">
        <v>180</v>
      </c>
      <c r="D30">
        <v>1.1499999999999999</v>
      </c>
      <c r="E30">
        <v>40</v>
      </c>
      <c r="F30" t="b">
        <v>1</v>
      </c>
      <c r="G30" s="1">
        <v>3.2000000000000001E-2</v>
      </c>
      <c r="H30" s="23">
        <f>IF(E30=large_size_ATCSQ!F30,1,(E30-large_size_ATCSQ!F30)/E30)</f>
        <v>0.97499999999999998</v>
      </c>
      <c r="J30" s="21"/>
      <c r="K30" s="21"/>
    </row>
    <row r="31" spans="1:12" x14ac:dyDescent="0.3">
      <c r="A31">
        <v>200</v>
      </c>
      <c r="B31">
        <v>20</v>
      </c>
      <c r="C31" s="1">
        <v>190</v>
      </c>
      <c r="D31">
        <v>1.1499999999999999</v>
      </c>
      <c r="E31">
        <v>36</v>
      </c>
      <c r="F31" t="b">
        <v>1</v>
      </c>
      <c r="G31" s="1">
        <v>3.1E-2</v>
      </c>
      <c r="H31" s="23">
        <f>IF(E31=large_size_ATCSQ!F31,1,(E31-large_size_ATCSQ!F31)/E31)</f>
        <v>0.97222222222222221</v>
      </c>
      <c r="J31" s="21"/>
      <c r="K31" s="21"/>
    </row>
    <row r="32" spans="1:12" s="2" customFormat="1" x14ac:dyDescent="0.3">
      <c r="A32" s="2">
        <v>200</v>
      </c>
      <c r="B32" s="2">
        <v>20</v>
      </c>
      <c r="C32" s="3">
        <v>200</v>
      </c>
      <c r="D32" s="2">
        <v>1.1499999999999999</v>
      </c>
      <c r="E32" s="2">
        <v>34</v>
      </c>
      <c r="F32" s="2" t="b">
        <v>1</v>
      </c>
      <c r="G32" s="3">
        <v>3.1E-2</v>
      </c>
      <c r="H32" s="27">
        <f>IF(E32=large_size_ATCSQ!F32,1,(E32-large_size_ATCSQ!F32)/E32)</f>
        <v>0.97058823529411764</v>
      </c>
      <c r="I32" s="5">
        <f>AVERAGE(G23:G32)</f>
        <v>3.1200000000000006E-2</v>
      </c>
      <c r="J32" s="22" cm="1">
        <f t="array" ref="J32">SUM(--(F23:F32))/10</f>
        <v>1</v>
      </c>
      <c r="K32" s="22">
        <f>AVERAGE(H23:H32)</f>
        <v>0.9722264388518258</v>
      </c>
      <c r="L32" s="2" cm="1">
        <f t="array" ref="L32">SUMPRODUCT(E23:E32-large_size!F23:F32)/10</f>
        <v>30.2</v>
      </c>
    </row>
    <row r="33" spans="1:12" x14ac:dyDescent="0.3">
      <c r="A33">
        <v>200</v>
      </c>
      <c r="B33">
        <v>25</v>
      </c>
      <c r="C33" s="1">
        <v>110</v>
      </c>
      <c r="D33">
        <v>1.1499999999999999</v>
      </c>
      <c r="E33">
        <v>45</v>
      </c>
      <c r="F33">
        <v>0</v>
      </c>
      <c r="G33" s="1">
        <v>3.1E-2</v>
      </c>
      <c r="H33" s="23">
        <f>IF(E33=large_size_ATCSQ!F33,1,(E33-large_size_ATCSQ!F33)/E33)</f>
        <v>1</v>
      </c>
      <c r="J33" s="21"/>
      <c r="K33" s="21"/>
    </row>
    <row r="34" spans="1:12" x14ac:dyDescent="0.3">
      <c r="A34">
        <v>200</v>
      </c>
      <c r="B34">
        <v>25</v>
      </c>
      <c r="C34" s="1">
        <v>120</v>
      </c>
      <c r="D34">
        <v>1.1499999999999999</v>
      </c>
      <c r="E34">
        <v>35</v>
      </c>
      <c r="F34" t="b">
        <v>1</v>
      </c>
      <c r="G34" s="1">
        <v>3.1E-2</v>
      </c>
      <c r="H34" s="23">
        <f>IF(E34=large_size_ATCSQ!F34,1,(E34-large_size_ATCSQ!F34)/E34)</f>
        <v>0.97142857142857142</v>
      </c>
      <c r="J34" s="21"/>
      <c r="K34" s="21"/>
    </row>
    <row r="35" spans="1:12" x14ac:dyDescent="0.3">
      <c r="A35">
        <v>200</v>
      </c>
      <c r="B35">
        <v>25</v>
      </c>
      <c r="C35" s="1">
        <v>130</v>
      </c>
      <c r="D35">
        <v>1.1499999999999999</v>
      </c>
      <c r="E35">
        <v>40</v>
      </c>
      <c r="F35" t="b">
        <v>1</v>
      </c>
      <c r="G35" s="1">
        <v>3.2000000000000001E-2</v>
      </c>
      <c r="H35" s="23">
        <f>IF(E35=large_size_ATCSQ!F35,1,(E35-large_size_ATCSQ!F35)/E35)</f>
        <v>0.97499999999999998</v>
      </c>
      <c r="J35" s="21"/>
      <c r="K35" s="21"/>
    </row>
    <row r="36" spans="1:12" x14ac:dyDescent="0.3">
      <c r="A36">
        <v>200</v>
      </c>
      <c r="B36">
        <v>25</v>
      </c>
      <c r="C36" s="1">
        <v>140</v>
      </c>
      <c r="D36">
        <v>1.1499999999999999</v>
      </c>
      <c r="E36">
        <v>28</v>
      </c>
      <c r="F36" t="b">
        <v>1</v>
      </c>
      <c r="G36" s="1">
        <v>3.2000000000000001E-2</v>
      </c>
      <c r="H36" s="23">
        <f>IF(E36=large_size_ATCSQ!F36,1,(E36-large_size_ATCSQ!F36)/E36)</f>
        <v>0.9642857142857143</v>
      </c>
      <c r="J36" s="21"/>
      <c r="K36" s="21"/>
    </row>
    <row r="37" spans="1:12" x14ac:dyDescent="0.3">
      <c r="A37">
        <v>200</v>
      </c>
      <c r="B37">
        <v>25</v>
      </c>
      <c r="C37" s="1">
        <v>150</v>
      </c>
      <c r="D37">
        <v>1.1499999999999999</v>
      </c>
      <c r="E37">
        <v>43</v>
      </c>
      <c r="F37" t="b">
        <v>1</v>
      </c>
      <c r="G37" s="1">
        <v>3.1E-2</v>
      </c>
      <c r="H37" s="23">
        <f>IF(E37=large_size_ATCSQ!F37,1,(E37-large_size_ATCSQ!F37)/E37)</f>
        <v>0.97674418604651159</v>
      </c>
      <c r="J37" s="21"/>
      <c r="K37" s="21"/>
    </row>
    <row r="38" spans="1:12" x14ac:dyDescent="0.3">
      <c r="A38">
        <v>200</v>
      </c>
      <c r="B38">
        <v>25</v>
      </c>
      <c r="C38" s="1">
        <v>160</v>
      </c>
      <c r="D38">
        <v>1.1499999999999999</v>
      </c>
      <c r="E38">
        <v>47</v>
      </c>
      <c r="F38" t="b">
        <v>1</v>
      </c>
      <c r="G38" s="1">
        <v>3.2000000000000001E-2</v>
      </c>
      <c r="H38" s="23">
        <f>IF(E38=large_size_ATCSQ!F38,1,(E38-large_size_ATCSQ!F38)/E38)</f>
        <v>0.97872340425531912</v>
      </c>
      <c r="J38" s="21"/>
      <c r="K38" s="21"/>
    </row>
    <row r="39" spans="1:12" x14ac:dyDescent="0.3">
      <c r="A39">
        <v>200</v>
      </c>
      <c r="B39">
        <v>25</v>
      </c>
      <c r="C39" s="1">
        <v>170</v>
      </c>
      <c r="D39">
        <v>1.1499999999999999</v>
      </c>
      <c r="E39">
        <v>35</v>
      </c>
      <c r="F39" t="b">
        <v>1</v>
      </c>
      <c r="G39" s="1">
        <v>3.1E-2</v>
      </c>
      <c r="H39" s="23">
        <f>IF(E39=large_size_ATCSQ!F39,1,(E39-large_size_ATCSQ!F39)/E39)</f>
        <v>0.97142857142857142</v>
      </c>
      <c r="J39" s="21"/>
      <c r="K39" s="21"/>
    </row>
    <row r="40" spans="1:12" x14ac:dyDescent="0.3">
      <c r="A40">
        <v>200</v>
      </c>
      <c r="B40">
        <v>25</v>
      </c>
      <c r="C40" s="1">
        <v>180</v>
      </c>
      <c r="D40">
        <v>1.1499999999999999</v>
      </c>
      <c r="E40">
        <v>41</v>
      </c>
      <c r="F40" t="b">
        <v>1</v>
      </c>
      <c r="G40" s="1">
        <v>3.2000000000000001E-2</v>
      </c>
      <c r="H40" s="23">
        <f>IF(E40=large_size_ATCSQ!F40,1,(E40-large_size_ATCSQ!F40)/E40)</f>
        <v>0.97560975609756095</v>
      </c>
      <c r="J40" s="21"/>
      <c r="K40" s="21"/>
    </row>
    <row r="41" spans="1:12" x14ac:dyDescent="0.3">
      <c r="A41">
        <v>200</v>
      </c>
      <c r="B41">
        <v>25</v>
      </c>
      <c r="C41" s="1">
        <v>190</v>
      </c>
      <c r="D41">
        <v>1.1499999999999999</v>
      </c>
      <c r="E41">
        <v>36</v>
      </c>
      <c r="F41" t="b">
        <v>1</v>
      </c>
      <c r="G41" s="1">
        <v>3.2000000000000001E-2</v>
      </c>
      <c r="H41" s="23">
        <f>IF(E41=large_size_ATCSQ!F41,1,(E41-large_size_ATCSQ!F41)/E41)</f>
        <v>0.97222222222222221</v>
      </c>
      <c r="J41" s="21"/>
      <c r="K41" s="21"/>
    </row>
    <row r="42" spans="1:12" s="2" customFormat="1" x14ac:dyDescent="0.3">
      <c r="A42" s="2">
        <v>200</v>
      </c>
      <c r="B42" s="2">
        <v>25</v>
      </c>
      <c r="C42" s="3">
        <v>200</v>
      </c>
      <c r="D42" s="2">
        <v>1.1499999999999999</v>
      </c>
      <c r="E42" s="2">
        <v>33</v>
      </c>
      <c r="F42" s="2" t="b">
        <v>1</v>
      </c>
      <c r="G42" s="3">
        <v>3.1E-2</v>
      </c>
      <c r="H42" s="27">
        <f>IF(E42=large_size_ATCSQ!F42,1,(E42-large_size_ATCSQ!F42)/E42)</f>
        <v>0.96969696969696972</v>
      </c>
      <c r="I42" s="5">
        <f>AVERAGE(G33:G42)</f>
        <v>3.1500000000000007E-2</v>
      </c>
      <c r="J42" s="22" cm="1">
        <f t="array" ref="J42">SUM(--(F33:F42))/10</f>
        <v>0.9</v>
      </c>
      <c r="K42" s="22">
        <f>AVERAGE(H33:H42)</f>
        <v>0.97551393954614407</v>
      </c>
      <c r="L42" s="2" cm="1">
        <f t="array" ref="L42">SUMPRODUCT(E33:E42-large_size!F33:F42)/10</f>
        <v>36.9</v>
      </c>
    </row>
    <row r="43" spans="1:12" s="7" customFormat="1" x14ac:dyDescent="0.3">
      <c r="A43"/>
      <c r="B43"/>
      <c r="C43" s="1"/>
      <c r="D43"/>
      <c r="E43"/>
      <c r="F43"/>
      <c r="G43" s="1"/>
      <c r="H43" s="28"/>
      <c r="I43" s="4"/>
      <c r="J43" t="str">
        <f t="shared" ref="J43:J82" si="0">IF(ISBLANK(E43),IF(ISBLANK(F43),"",100), IF(E43+F43=0, 0, IF(G43=3600, IF(E43=F43,1,(E43-F43)/E43*100), 0)))</f>
        <v/>
      </c>
    </row>
    <row r="44" spans="1:12" s="7" customFormat="1" x14ac:dyDescent="0.3">
      <c r="A44"/>
      <c r="B44"/>
      <c r="C44" s="1"/>
      <c r="D44"/>
      <c r="E44"/>
      <c r="F44"/>
      <c r="G44" s="1"/>
      <c r="H44" s="28"/>
      <c r="I44" s="4"/>
      <c r="J44" t="str">
        <f t="shared" si="0"/>
        <v/>
      </c>
    </row>
    <row r="45" spans="1:12" s="7" customFormat="1" x14ac:dyDescent="0.3">
      <c r="A45"/>
      <c r="B45"/>
      <c r="C45" s="1"/>
      <c r="D45"/>
      <c r="E45"/>
      <c r="F45"/>
      <c r="G45" s="1"/>
      <c r="H45" s="28"/>
      <c r="I45" s="4"/>
      <c r="J45" t="str">
        <f t="shared" si="0"/>
        <v/>
      </c>
    </row>
    <row r="46" spans="1:12" s="7" customFormat="1" x14ac:dyDescent="0.3">
      <c r="A46"/>
      <c r="B46"/>
      <c r="C46" s="1"/>
      <c r="D46"/>
      <c r="E46"/>
      <c r="F46"/>
      <c r="G46" s="1"/>
      <c r="H46" s="28"/>
      <c r="I46" s="4"/>
      <c r="J46" t="str">
        <f t="shared" si="0"/>
        <v/>
      </c>
    </row>
    <row r="47" spans="1:12" s="7" customFormat="1" x14ac:dyDescent="0.3">
      <c r="A47"/>
      <c r="B47"/>
      <c r="C47" s="1"/>
      <c r="D47"/>
      <c r="E47"/>
      <c r="F47"/>
      <c r="G47" s="1"/>
      <c r="H47" s="28"/>
      <c r="I47" s="4"/>
      <c r="J47" t="str">
        <f t="shared" si="0"/>
        <v/>
      </c>
    </row>
    <row r="48" spans="1:12" s="7" customFormat="1" x14ac:dyDescent="0.3">
      <c r="A48"/>
      <c r="B48"/>
      <c r="C48" s="1"/>
      <c r="D48"/>
      <c r="E48"/>
      <c r="F48"/>
      <c r="G48" s="1"/>
      <c r="H48" s="28"/>
      <c r="I48" s="4"/>
      <c r="J48" t="str">
        <f t="shared" si="0"/>
        <v/>
      </c>
    </row>
    <row r="49" spans="1:10" s="7" customFormat="1" x14ac:dyDescent="0.3">
      <c r="A49"/>
      <c r="B49"/>
      <c r="C49" s="1"/>
      <c r="D49"/>
      <c r="E49"/>
      <c r="F49"/>
      <c r="G49" s="1"/>
      <c r="H49" s="28"/>
      <c r="I49" s="4"/>
      <c r="J49" t="str">
        <f t="shared" si="0"/>
        <v/>
      </c>
    </row>
    <row r="50" spans="1:10" s="7" customFormat="1" x14ac:dyDescent="0.3">
      <c r="A50"/>
      <c r="B50"/>
      <c r="C50" s="1"/>
      <c r="D50"/>
      <c r="E50"/>
      <c r="F50"/>
      <c r="G50" s="1"/>
      <c r="H50" s="28"/>
      <c r="I50" s="4"/>
      <c r="J50" t="str">
        <f t="shared" si="0"/>
        <v/>
      </c>
    </row>
    <row r="51" spans="1:10" s="7" customFormat="1" x14ac:dyDescent="0.3">
      <c r="A51"/>
      <c r="B51"/>
      <c r="C51" s="1"/>
      <c r="D51"/>
      <c r="E51"/>
      <c r="F51"/>
      <c r="G51" s="1"/>
      <c r="H51" s="28"/>
      <c r="I51" s="4"/>
      <c r="J51" t="str">
        <f t="shared" si="0"/>
        <v/>
      </c>
    </row>
    <row r="52" spans="1:10" s="2" customFormat="1" x14ac:dyDescent="0.3">
      <c r="C52" s="3"/>
      <c r="G52" s="3"/>
      <c r="H52" s="3"/>
      <c r="I52" s="5" t="e">
        <f>AVERAGE(G43:G52)</f>
        <v>#DIV/0!</v>
      </c>
      <c r="J52" s="2" t="str">
        <f t="shared" si="0"/>
        <v/>
      </c>
    </row>
    <row r="53" spans="1:10" s="7" customFormat="1" x14ac:dyDescent="0.3">
      <c r="A53"/>
      <c r="B53"/>
      <c r="C53" s="1"/>
      <c r="D53"/>
      <c r="E53"/>
      <c r="F53"/>
      <c r="G53" s="1"/>
      <c r="H53" s="28"/>
      <c r="I53" s="4"/>
      <c r="J53" t="str">
        <f t="shared" si="0"/>
        <v/>
      </c>
    </row>
    <row r="54" spans="1:10" s="7" customFormat="1" x14ac:dyDescent="0.3">
      <c r="A54"/>
      <c r="B54"/>
      <c r="C54" s="1"/>
      <c r="D54"/>
      <c r="E54"/>
      <c r="F54"/>
      <c r="G54" s="1"/>
      <c r="H54" s="28"/>
      <c r="I54" s="4"/>
      <c r="J54" t="str">
        <f t="shared" si="0"/>
        <v/>
      </c>
    </row>
    <row r="55" spans="1:10" s="7" customFormat="1" x14ac:dyDescent="0.3">
      <c r="A55"/>
      <c r="B55"/>
      <c r="C55" s="1"/>
      <c r="D55"/>
      <c r="E55"/>
      <c r="F55"/>
      <c r="G55" s="1"/>
      <c r="H55" s="28"/>
      <c r="I55" s="4"/>
      <c r="J55" t="str">
        <f t="shared" si="0"/>
        <v/>
      </c>
    </row>
    <row r="56" spans="1:10" s="7" customFormat="1" x14ac:dyDescent="0.3">
      <c r="A56"/>
      <c r="B56"/>
      <c r="C56" s="1"/>
      <c r="D56"/>
      <c r="E56"/>
      <c r="F56"/>
      <c r="G56" s="1"/>
      <c r="H56" s="28"/>
      <c r="I56" s="4"/>
      <c r="J56" t="str">
        <f t="shared" si="0"/>
        <v/>
      </c>
    </row>
    <row r="57" spans="1:10" s="7" customFormat="1" x14ac:dyDescent="0.3">
      <c r="A57"/>
      <c r="B57"/>
      <c r="C57" s="1"/>
      <c r="D57"/>
      <c r="E57"/>
      <c r="F57"/>
      <c r="G57" s="1"/>
      <c r="H57" s="28"/>
      <c r="I57" s="4"/>
      <c r="J57" t="str">
        <f t="shared" si="0"/>
        <v/>
      </c>
    </row>
    <row r="58" spans="1:10" s="7" customFormat="1" x14ac:dyDescent="0.3">
      <c r="A58"/>
      <c r="B58"/>
      <c r="C58" s="1"/>
      <c r="D58"/>
      <c r="E58"/>
      <c r="F58"/>
      <c r="G58" s="1"/>
      <c r="H58" s="28"/>
      <c r="I58" s="4"/>
      <c r="J58" t="str">
        <f t="shared" si="0"/>
        <v/>
      </c>
    </row>
    <row r="59" spans="1:10" s="7" customFormat="1" x14ac:dyDescent="0.3">
      <c r="A59"/>
      <c r="B59"/>
      <c r="C59" s="1"/>
      <c r="D59"/>
      <c r="E59"/>
      <c r="F59"/>
      <c r="G59" s="1"/>
      <c r="H59" s="28"/>
      <c r="I59" s="4"/>
      <c r="J59" t="str">
        <f t="shared" si="0"/>
        <v/>
      </c>
    </row>
    <row r="60" spans="1:10" s="7" customFormat="1" x14ac:dyDescent="0.3">
      <c r="A60"/>
      <c r="B60"/>
      <c r="C60" s="1"/>
      <c r="D60"/>
      <c r="E60"/>
      <c r="F60"/>
      <c r="G60" s="1"/>
      <c r="H60" s="28"/>
      <c r="I60" s="4"/>
      <c r="J60" t="str">
        <f t="shared" si="0"/>
        <v/>
      </c>
    </row>
    <row r="61" spans="1:10" s="7" customFormat="1" x14ac:dyDescent="0.3">
      <c r="A61"/>
      <c r="B61"/>
      <c r="C61" s="1"/>
      <c r="D61"/>
      <c r="E61"/>
      <c r="F61"/>
      <c r="G61" s="1"/>
      <c r="H61" s="28"/>
      <c r="I61" s="4"/>
      <c r="J61" t="str">
        <f t="shared" si="0"/>
        <v/>
      </c>
    </row>
    <row r="62" spans="1:10" s="2" customFormat="1" x14ac:dyDescent="0.3">
      <c r="C62" s="3"/>
      <c r="G62" s="3"/>
      <c r="H62" s="3"/>
      <c r="I62" s="5" t="e">
        <f>AVERAGE(G53:G62)</f>
        <v>#DIV/0!</v>
      </c>
      <c r="J62" s="2" t="str">
        <f t="shared" si="0"/>
        <v/>
      </c>
    </row>
    <row r="63" spans="1:10" s="7" customFormat="1" x14ac:dyDescent="0.3">
      <c r="A63"/>
      <c r="B63"/>
      <c r="C63" s="1"/>
      <c r="D63"/>
      <c r="E63"/>
      <c r="F63"/>
      <c r="G63" s="1"/>
      <c r="H63" s="28"/>
      <c r="I63" s="4"/>
      <c r="J63" t="str">
        <f t="shared" si="0"/>
        <v/>
      </c>
    </row>
    <row r="64" spans="1:10" s="7" customFormat="1" x14ac:dyDescent="0.3">
      <c r="A64"/>
      <c r="B64"/>
      <c r="C64" s="1"/>
      <c r="D64"/>
      <c r="E64"/>
      <c r="F64"/>
      <c r="G64" s="1"/>
      <c r="H64" s="28"/>
      <c r="I64" s="4"/>
      <c r="J64" t="str">
        <f t="shared" si="0"/>
        <v/>
      </c>
    </row>
    <row r="65" spans="1:10" s="7" customFormat="1" x14ac:dyDescent="0.3">
      <c r="A65"/>
      <c r="B65"/>
      <c r="C65" s="1"/>
      <c r="D65"/>
      <c r="E65"/>
      <c r="F65"/>
      <c r="G65" s="1"/>
      <c r="H65" s="28"/>
      <c r="I65" s="4"/>
      <c r="J65" t="str">
        <f t="shared" si="0"/>
        <v/>
      </c>
    </row>
    <row r="66" spans="1:10" s="7" customFormat="1" x14ac:dyDescent="0.3">
      <c r="A66"/>
      <c r="B66"/>
      <c r="C66" s="1"/>
      <c r="D66"/>
      <c r="E66"/>
      <c r="F66"/>
      <c r="G66" s="1"/>
      <c r="H66" s="28"/>
      <c r="I66" s="4"/>
      <c r="J66" t="str">
        <f t="shared" si="0"/>
        <v/>
      </c>
    </row>
    <row r="67" spans="1:10" s="7" customFormat="1" x14ac:dyDescent="0.3">
      <c r="A67"/>
      <c r="B67"/>
      <c r="C67" s="1"/>
      <c r="D67"/>
      <c r="E67"/>
      <c r="F67"/>
      <c r="G67" s="1"/>
      <c r="H67" s="28"/>
      <c r="I67" s="4"/>
      <c r="J67" t="str">
        <f t="shared" si="0"/>
        <v/>
      </c>
    </row>
    <row r="68" spans="1:10" s="7" customFormat="1" x14ac:dyDescent="0.3">
      <c r="A68"/>
      <c r="B68"/>
      <c r="C68" s="1"/>
      <c r="D68"/>
      <c r="E68"/>
      <c r="F68"/>
      <c r="G68" s="1"/>
      <c r="H68" s="28"/>
      <c r="I68" s="4"/>
      <c r="J68" t="str">
        <f t="shared" si="0"/>
        <v/>
      </c>
    </row>
    <row r="69" spans="1:10" s="7" customFormat="1" x14ac:dyDescent="0.3">
      <c r="A69"/>
      <c r="B69"/>
      <c r="C69" s="1"/>
      <c r="D69"/>
      <c r="E69"/>
      <c r="F69"/>
      <c r="G69" s="1"/>
      <c r="H69" s="28"/>
      <c r="I69" s="4"/>
      <c r="J69" t="str">
        <f t="shared" si="0"/>
        <v/>
      </c>
    </row>
    <row r="70" spans="1:10" s="7" customFormat="1" x14ac:dyDescent="0.3">
      <c r="A70"/>
      <c r="B70"/>
      <c r="C70" s="1"/>
      <c r="D70"/>
      <c r="E70"/>
      <c r="F70"/>
      <c r="G70" s="1"/>
      <c r="H70" s="28"/>
      <c r="I70" s="4"/>
      <c r="J70" t="str">
        <f t="shared" si="0"/>
        <v/>
      </c>
    </row>
    <row r="71" spans="1:10" s="7" customFormat="1" x14ac:dyDescent="0.3">
      <c r="A71"/>
      <c r="B71"/>
      <c r="C71" s="1"/>
      <c r="D71"/>
      <c r="E71"/>
      <c r="F71"/>
      <c r="G71" s="1"/>
      <c r="H71" s="28"/>
      <c r="I71" s="4"/>
      <c r="J71" t="str">
        <f t="shared" si="0"/>
        <v/>
      </c>
    </row>
    <row r="72" spans="1:10" s="2" customFormat="1" x14ac:dyDescent="0.3">
      <c r="C72" s="3"/>
      <c r="G72" s="3"/>
      <c r="H72" s="3"/>
      <c r="I72" s="5" t="e">
        <f>AVERAGE(G63:G72)</f>
        <v>#DIV/0!</v>
      </c>
      <c r="J72" s="2" t="str">
        <f t="shared" si="0"/>
        <v/>
      </c>
    </row>
    <row r="73" spans="1:10" s="7" customFormat="1" x14ac:dyDescent="0.3">
      <c r="A73"/>
      <c r="B73"/>
      <c r="C73" s="1"/>
      <c r="D73"/>
      <c r="E73"/>
      <c r="F73"/>
      <c r="G73" s="1"/>
      <c r="H73" s="28"/>
      <c r="I73" s="4"/>
      <c r="J73" t="str">
        <f t="shared" si="0"/>
        <v/>
      </c>
    </row>
    <row r="74" spans="1:10" s="7" customFormat="1" x14ac:dyDescent="0.3">
      <c r="A74"/>
      <c r="B74"/>
      <c r="C74" s="1"/>
      <c r="D74"/>
      <c r="E74"/>
      <c r="F74"/>
      <c r="G74" s="1"/>
      <c r="H74" s="28"/>
      <c r="I74" s="4"/>
      <c r="J74" t="str">
        <f t="shared" si="0"/>
        <v/>
      </c>
    </row>
    <row r="75" spans="1:10" s="7" customFormat="1" x14ac:dyDescent="0.3">
      <c r="A75"/>
      <c r="B75"/>
      <c r="C75" s="1"/>
      <c r="D75"/>
      <c r="E75"/>
      <c r="F75"/>
      <c r="G75" s="1"/>
      <c r="H75" s="28"/>
      <c r="I75" s="4"/>
      <c r="J75" t="str">
        <f t="shared" si="0"/>
        <v/>
      </c>
    </row>
    <row r="76" spans="1:10" s="7" customFormat="1" x14ac:dyDescent="0.3">
      <c r="A76"/>
      <c r="B76"/>
      <c r="C76" s="1"/>
      <c r="D76"/>
      <c r="E76"/>
      <c r="F76"/>
      <c r="G76" s="1"/>
      <c r="H76" s="28"/>
      <c r="I76" s="4"/>
      <c r="J76" t="str">
        <f t="shared" si="0"/>
        <v/>
      </c>
    </row>
    <row r="77" spans="1:10" s="7" customFormat="1" x14ac:dyDescent="0.3">
      <c r="A77"/>
      <c r="B77"/>
      <c r="C77" s="1"/>
      <c r="D77"/>
      <c r="E77"/>
      <c r="F77"/>
      <c r="G77" s="1"/>
      <c r="H77" s="28"/>
      <c r="I77" s="4"/>
      <c r="J77" t="str">
        <f t="shared" si="0"/>
        <v/>
      </c>
    </row>
    <row r="78" spans="1:10" s="7" customFormat="1" x14ac:dyDescent="0.3">
      <c r="A78"/>
      <c r="B78"/>
      <c r="C78" s="1"/>
      <c r="D78"/>
      <c r="E78"/>
      <c r="F78"/>
      <c r="G78" s="1"/>
      <c r="H78" s="28"/>
      <c r="I78" s="4"/>
      <c r="J78" t="str">
        <f t="shared" si="0"/>
        <v/>
      </c>
    </row>
    <row r="79" spans="1:10" s="7" customFormat="1" x14ac:dyDescent="0.3">
      <c r="A79"/>
      <c r="B79"/>
      <c r="C79" s="1"/>
      <c r="D79"/>
      <c r="E79"/>
      <c r="F79"/>
      <c r="G79" s="1"/>
      <c r="H79" s="28"/>
      <c r="I79" s="4"/>
      <c r="J79" t="str">
        <f t="shared" si="0"/>
        <v/>
      </c>
    </row>
    <row r="80" spans="1:10" s="7" customFormat="1" x14ac:dyDescent="0.3">
      <c r="A80"/>
      <c r="B80"/>
      <c r="C80" s="1"/>
      <c r="D80"/>
      <c r="E80"/>
      <c r="F80"/>
      <c r="G80" s="1"/>
      <c r="H80" s="28"/>
      <c r="I80" s="4"/>
      <c r="J80" t="str">
        <f t="shared" si="0"/>
        <v/>
      </c>
    </row>
    <row r="81" spans="1:10" s="7" customFormat="1" x14ac:dyDescent="0.3">
      <c r="A81"/>
      <c r="B81"/>
      <c r="C81" s="1"/>
      <c r="D81"/>
      <c r="E81"/>
      <c r="F81"/>
      <c r="G81" s="1"/>
      <c r="H81" s="28"/>
      <c r="I81" s="4"/>
      <c r="J81" t="str">
        <f t="shared" si="0"/>
        <v/>
      </c>
    </row>
    <row r="82" spans="1:10" s="2" customFormat="1" x14ac:dyDescent="0.3">
      <c r="C82" s="3"/>
      <c r="G82" s="3"/>
      <c r="H82" s="3"/>
      <c r="I82" s="5" t="e">
        <f>AVERAGE(G73:G82)</f>
        <v>#DIV/0!</v>
      </c>
      <c r="J82" s="2" t="str">
        <f t="shared" si="0"/>
        <v/>
      </c>
    </row>
    <row r="83" spans="1:10" s="7" customFormat="1" x14ac:dyDescent="0.3">
      <c r="A83"/>
      <c r="B83"/>
      <c r="C83"/>
      <c r="D83">
        <f>AVERAGE(D3:D82)</f>
        <v>1.149999999999999</v>
      </c>
      <c r="E83">
        <f>AVERAGE(E3:E82)</f>
        <v>29.225000000000001</v>
      </c>
      <c r="F83">
        <f>AVERAGE(F3:F82)</f>
        <v>0</v>
      </c>
      <c r="G83" s="1">
        <f>AVERAGE(G3:G82)</f>
        <v>1.9650000000000015E-2</v>
      </c>
      <c r="H83" s="28"/>
      <c r="I83" s="4"/>
      <c r="J83">
        <f>COUNTIF(J3:J82,"&gt;0")</f>
        <v>4</v>
      </c>
    </row>
    <row r="163" spans="1:10" s="7" customFormat="1" x14ac:dyDescent="0.3">
      <c r="A163"/>
      <c r="B163"/>
      <c r="C163"/>
      <c r="D163" s="6">
        <f>AVERAGE(D12:D82)</f>
        <v>1.1499999999999992</v>
      </c>
      <c r="E163">
        <f>SUM(E12:E82)</f>
        <v>983</v>
      </c>
      <c r="F163">
        <f>SUM(F12:F82)</f>
        <v>0</v>
      </c>
      <c r="G163" s="1"/>
      <c r="H163" s="28"/>
      <c r="I163" s="4" t="e">
        <f>AVERAGE(I12:I82)</f>
        <v>#DIV/0!</v>
      </c>
      <c r="J163">
        <f>COUNTIF(J12:J82,"&gt;0")</f>
        <v>4</v>
      </c>
    </row>
  </sheetData>
  <autoFilter ref="I1:I163" xr:uid="{3BDC2A91-F62C-482F-8F5A-8E214630FF7D}"/>
  <phoneticPr fontId="1" type="noConversion"/>
  <conditionalFormatting sqref="H1 H83:H162">
    <cfRule type="containsText" dxfId="42" priority="1" operator="containsText" text="false">
      <formula>NOT(ISERROR(SEARCH("false",H1)))</formula>
    </cfRule>
  </conditionalFormatting>
  <conditionalFormatting sqref="H2:H42 J43:K82">
    <cfRule type="containsText" dxfId="41" priority="2" operator="containsText" text="FALSE">
      <formula>NOT(ISERROR(SEARCH("FALSE",H2)))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4EEC-005F-45B0-A932-30165DF483EF}">
  <dimension ref="A1:L163"/>
  <sheetViews>
    <sheetView zoomScale="70" zoomScaleNormal="70" workbookViewId="0">
      <selection activeCell="L42" sqref="L42"/>
    </sheetView>
  </sheetViews>
  <sheetFormatPr defaultRowHeight="16.5" x14ac:dyDescent="0.3"/>
  <cols>
    <col min="1" max="1" width="8.875" bestFit="1" customWidth="1"/>
    <col min="2" max="2" width="13.75" bestFit="1" customWidth="1"/>
    <col min="5" max="5" width="14.75" bestFit="1" customWidth="1"/>
    <col min="6" max="6" width="12.625" bestFit="1" customWidth="1"/>
    <col min="7" max="7" width="9.75" style="1" bestFit="1" customWidth="1"/>
    <col min="8" max="8" width="9" style="28" customWidth="1"/>
    <col min="9" max="9" width="13" style="4" bestFit="1" customWidth="1"/>
    <col min="10" max="10" width="12.5" bestFit="1" customWidth="1"/>
    <col min="11" max="11" width="13.125" bestFit="1" customWidth="1"/>
    <col min="12" max="12" width="12.375" bestFit="1" customWidth="1"/>
  </cols>
  <sheetData>
    <row r="1" spans="1:12" s="13" customFormat="1" x14ac:dyDescent="0.3">
      <c r="C1" s="12"/>
      <c r="D1" s="13" t="s">
        <v>18</v>
      </c>
      <c r="G1" s="12"/>
      <c r="H1" s="24"/>
      <c r="I1" s="11"/>
    </row>
    <row r="2" spans="1:12" s="9" customFormat="1" x14ac:dyDescent="0.3">
      <c r="A2" s="9" t="s">
        <v>8</v>
      </c>
      <c r="B2" s="9" t="s">
        <v>9</v>
      </c>
      <c r="C2" s="17" t="s">
        <v>10</v>
      </c>
      <c r="D2" s="9" t="s">
        <v>11</v>
      </c>
      <c r="E2" s="9" t="s">
        <v>12</v>
      </c>
      <c r="F2" s="9" t="s">
        <v>19</v>
      </c>
      <c r="G2" s="17" t="s">
        <v>14</v>
      </c>
      <c r="H2" s="17" t="s">
        <v>20</v>
      </c>
      <c r="I2" s="15" t="s">
        <v>23</v>
      </c>
      <c r="J2" s="9" t="s">
        <v>21</v>
      </c>
      <c r="K2" s="9" t="s">
        <v>22</v>
      </c>
      <c r="L2" s="9" t="s">
        <v>24</v>
      </c>
    </row>
    <row r="3" spans="1:12" x14ac:dyDescent="0.3">
      <c r="A3">
        <v>100</v>
      </c>
      <c r="B3">
        <v>20</v>
      </c>
      <c r="C3" s="1">
        <v>110</v>
      </c>
      <c r="D3">
        <v>1.1499999999999999</v>
      </c>
      <c r="E3">
        <v>5</v>
      </c>
      <c r="F3" t="b">
        <v>1</v>
      </c>
      <c r="G3" s="1">
        <v>275.61099999999999</v>
      </c>
      <c r="H3" s="23">
        <f>IF(E3=0, 0, IF(E3=large_size_GA!F3,1,(E3-large_size_GA!F3)/E3))</f>
        <v>0.8</v>
      </c>
      <c r="J3" s="21"/>
      <c r="K3" s="21"/>
    </row>
    <row r="4" spans="1:12" x14ac:dyDescent="0.3">
      <c r="A4">
        <v>100</v>
      </c>
      <c r="B4">
        <v>20</v>
      </c>
      <c r="C4" s="1">
        <v>120</v>
      </c>
      <c r="D4">
        <v>1.1499999999999999</v>
      </c>
      <c r="E4">
        <v>0</v>
      </c>
      <c r="F4" t="b">
        <v>1</v>
      </c>
      <c r="G4" s="1">
        <v>352.28899999999999</v>
      </c>
      <c r="H4" s="23">
        <f>IF(E4=0, 0, IF(E4=large_size_GA!F4,1,(E4-large_size_GA!F4)/E4))</f>
        <v>0</v>
      </c>
      <c r="J4" s="21"/>
      <c r="K4" s="21"/>
    </row>
    <row r="5" spans="1:12" x14ac:dyDescent="0.3">
      <c r="A5">
        <v>100</v>
      </c>
      <c r="B5">
        <v>20</v>
      </c>
      <c r="C5" s="1">
        <v>130</v>
      </c>
      <c r="D5">
        <v>1.1499999999999999</v>
      </c>
      <c r="E5">
        <v>4</v>
      </c>
      <c r="F5" t="b">
        <v>1</v>
      </c>
      <c r="G5" s="1">
        <v>230.61500000000001</v>
      </c>
      <c r="H5" s="23">
        <f>IF(E5=0, 0, IF(E5=large_size_GA!F5,1,(E5-large_size_GA!F5)/E5))</f>
        <v>0.75</v>
      </c>
      <c r="J5" s="21"/>
      <c r="K5" s="21"/>
    </row>
    <row r="6" spans="1:12" x14ac:dyDescent="0.3">
      <c r="A6">
        <v>100</v>
      </c>
      <c r="B6">
        <v>20</v>
      </c>
      <c r="C6" s="1">
        <v>140</v>
      </c>
      <c r="D6">
        <v>1.1499999999999999</v>
      </c>
      <c r="E6">
        <v>4</v>
      </c>
      <c r="F6" t="b">
        <v>1</v>
      </c>
      <c r="G6" s="1">
        <v>297.42599999999999</v>
      </c>
      <c r="H6" s="23">
        <f>IF(E6=0, 0, IF(E6=large_size_GA!F6,1,(E6-large_size_GA!F6)/E6))</f>
        <v>0.75</v>
      </c>
      <c r="J6" s="21"/>
      <c r="K6" s="21"/>
    </row>
    <row r="7" spans="1:12" x14ac:dyDescent="0.3">
      <c r="A7">
        <v>100</v>
      </c>
      <c r="B7">
        <v>20</v>
      </c>
      <c r="C7" s="1">
        <v>150</v>
      </c>
      <c r="D7">
        <v>1.1499999999999999</v>
      </c>
      <c r="E7">
        <v>4</v>
      </c>
      <c r="F7" t="b">
        <v>1</v>
      </c>
      <c r="G7" s="1">
        <v>236.876</v>
      </c>
      <c r="H7" s="23">
        <f>IF(E7=0, 0, IF(E7=large_size_GA!F7,1,(E7-large_size_GA!F7)/E7))</f>
        <v>0.75</v>
      </c>
      <c r="J7" s="21"/>
      <c r="K7" s="21"/>
    </row>
    <row r="8" spans="1:12" x14ac:dyDescent="0.3">
      <c r="A8">
        <v>100</v>
      </c>
      <c r="B8">
        <v>20</v>
      </c>
      <c r="C8" s="1">
        <v>160</v>
      </c>
      <c r="D8">
        <v>1.1499999999999999</v>
      </c>
      <c r="E8">
        <v>2</v>
      </c>
      <c r="F8" t="b">
        <v>1</v>
      </c>
      <c r="G8" s="1">
        <v>530.52599999999995</v>
      </c>
      <c r="H8" s="23">
        <f>IF(E8=0, 0, IF(E8=large_size_GA!F8,1,(E8-large_size_GA!F8)/E8))</f>
        <v>0.5</v>
      </c>
      <c r="J8" s="21"/>
      <c r="K8" s="21"/>
    </row>
    <row r="9" spans="1:12" x14ac:dyDescent="0.3">
      <c r="A9">
        <v>100</v>
      </c>
      <c r="B9">
        <v>20</v>
      </c>
      <c r="C9" s="1">
        <v>170</v>
      </c>
      <c r="D9">
        <v>1.1499999999999999</v>
      </c>
      <c r="E9">
        <v>2</v>
      </c>
      <c r="F9" t="b">
        <v>1</v>
      </c>
      <c r="G9" s="1">
        <v>419.32</v>
      </c>
      <c r="H9" s="23">
        <f>IF(E9=0, 0, IF(E9=large_size_GA!F9,1,(E9-large_size_GA!F9)/E9))</f>
        <v>0.5</v>
      </c>
      <c r="J9" s="21"/>
      <c r="K9" s="21"/>
    </row>
    <row r="10" spans="1:12" x14ac:dyDescent="0.3">
      <c r="A10">
        <v>100</v>
      </c>
      <c r="B10">
        <v>20</v>
      </c>
      <c r="C10" s="1">
        <v>180</v>
      </c>
      <c r="D10">
        <v>1.1499999999999999</v>
      </c>
      <c r="E10">
        <v>1</v>
      </c>
      <c r="F10" t="b">
        <v>1</v>
      </c>
      <c r="G10" s="1">
        <v>613.76800000000003</v>
      </c>
      <c r="H10" s="23">
        <f>IF(E10=0, 0, IF(E10=large_size_GA!F10,1,(E10-large_size_GA!F10)/E10))</f>
        <v>0</v>
      </c>
      <c r="J10" s="21"/>
      <c r="K10" s="21"/>
    </row>
    <row r="11" spans="1:12" x14ac:dyDescent="0.3">
      <c r="A11">
        <v>100</v>
      </c>
      <c r="B11">
        <v>20</v>
      </c>
      <c r="C11" s="1">
        <v>190</v>
      </c>
      <c r="D11">
        <v>1.1499999999999999</v>
      </c>
      <c r="E11">
        <v>0</v>
      </c>
      <c r="F11" t="b">
        <v>1</v>
      </c>
      <c r="G11" s="1">
        <v>545.89</v>
      </c>
      <c r="H11" s="23">
        <f>IF(E11=0, 0, IF(E11=large_size_GA!F11,1,(E11-large_size_GA!F11)/E11))</f>
        <v>0</v>
      </c>
      <c r="J11" s="21"/>
      <c r="K11" s="21"/>
    </row>
    <row r="12" spans="1:12" s="2" customFormat="1" x14ac:dyDescent="0.3">
      <c r="A12" s="2">
        <v>100</v>
      </c>
      <c r="B12" s="2">
        <v>20</v>
      </c>
      <c r="C12" s="3">
        <v>200</v>
      </c>
      <c r="D12" s="2">
        <v>1.1499999999999999</v>
      </c>
      <c r="E12" s="2">
        <v>6</v>
      </c>
      <c r="F12" s="2" t="b">
        <v>1</v>
      </c>
      <c r="G12" s="3">
        <v>192.71100000000001</v>
      </c>
      <c r="H12" s="27">
        <f>IF(E12=0, 0, IF(E12=large_size_GA!F12,1,(E12-large_size_GA!F12)/E12))</f>
        <v>0.83333333333333337</v>
      </c>
      <c r="I12" s="5">
        <f>AVERAGE(G3:G12)</f>
        <v>369.50319999999999</v>
      </c>
      <c r="J12" s="22" cm="1">
        <f t="array" ref="J12">SUM(--(F3:F12))/10</f>
        <v>1</v>
      </c>
      <c r="K12" s="22">
        <f>AVERAGE(H3:H12)</f>
        <v>0.48833333333333329</v>
      </c>
      <c r="L12" s="2" cm="1">
        <f t="array" ref="L12">SUMPRODUCT(E3:E12-large_size!F3:F12)/10</f>
        <v>2.4</v>
      </c>
    </row>
    <row r="13" spans="1:12" x14ac:dyDescent="0.3">
      <c r="A13">
        <v>100</v>
      </c>
      <c r="B13">
        <v>25</v>
      </c>
      <c r="C13" s="1">
        <v>110</v>
      </c>
      <c r="D13">
        <v>1.1499999999999999</v>
      </c>
      <c r="E13">
        <v>5</v>
      </c>
      <c r="F13" t="b">
        <v>1</v>
      </c>
      <c r="G13" s="1">
        <v>264.36099999999999</v>
      </c>
      <c r="H13" s="23">
        <f>IF(E13=0, 0, IF(E13=large_size_GA!F13,1,(E13-large_size_GA!F13)/E13))</f>
        <v>0.8</v>
      </c>
      <c r="J13" s="21"/>
      <c r="K13" s="21"/>
    </row>
    <row r="14" spans="1:12" x14ac:dyDescent="0.3">
      <c r="A14">
        <v>100</v>
      </c>
      <c r="B14">
        <v>25</v>
      </c>
      <c r="C14" s="1">
        <v>120</v>
      </c>
      <c r="D14">
        <v>1.1499999999999999</v>
      </c>
      <c r="E14">
        <v>0</v>
      </c>
      <c r="F14" t="b">
        <v>1</v>
      </c>
      <c r="G14" s="1">
        <v>227.624</v>
      </c>
      <c r="H14" s="23">
        <f>IF(E14=0, 0, IF(E14=large_size_GA!F14,1,(E14-large_size_GA!F14)/E14))</f>
        <v>0</v>
      </c>
      <c r="J14" s="21"/>
      <c r="K14" s="21"/>
    </row>
    <row r="15" spans="1:12" x14ac:dyDescent="0.3">
      <c r="A15">
        <v>100</v>
      </c>
      <c r="B15">
        <v>25</v>
      </c>
      <c r="C15" s="1">
        <v>130</v>
      </c>
      <c r="D15">
        <v>1.1499999999999999</v>
      </c>
      <c r="E15">
        <v>1</v>
      </c>
      <c r="F15" t="b">
        <v>1</v>
      </c>
      <c r="G15" s="1">
        <v>263.81700000000001</v>
      </c>
      <c r="H15" s="23">
        <f>IF(E15=0, 0, IF(E15=large_size_GA!F15,1,(E15-large_size_GA!F15)/E15))</f>
        <v>0</v>
      </c>
      <c r="J15" s="21"/>
      <c r="K15" s="21"/>
    </row>
    <row r="16" spans="1:12" x14ac:dyDescent="0.3">
      <c r="A16">
        <v>100</v>
      </c>
      <c r="B16">
        <v>25</v>
      </c>
      <c r="C16" s="1">
        <v>140</v>
      </c>
      <c r="D16">
        <v>1.1499999999999999</v>
      </c>
      <c r="E16">
        <v>2</v>
      </c>
      <c r="F16" t="b">
        <v>1</v>
      </c>
      <c r="G16" s="1">
        <v>257.45100000000002</v>
      </c>
      <c r="H16" s="23">
        <f>IF(E16=0, 0, IF(E16=large_size_GA!F16,1,(E16-large_size_GA!F16)/E16))</f>
        <v>0.5</v>
      </c>
      <c r="J16" s="21"/>
      <c r="K16" s="21"/>
    </row>
    <row r="17" spans="1:12" x14ac:dyDescent="0.3">
      <c r="A17">
        <v>100</v>
      </c>
      <c r="B17">
        <v>25</v>
      </c>
      <c r="C17" s="1">
        <v>150</v>
      </c>
      <c r="D17">
        <v>1.1499999999999999</v>
      </c>
      <c r="E17">
        <v>4</v>
      </c>
      <c r="F17" t="b">
        <v>1</v>
      </c>
      <c r="G17" s="1">
        <v>209.89500000000001</v>
      </c>
      <c r="H17" s="23">
        <f>IF(E17=0, 0, IF(E17=large_size_GA!F17,1,(E17-large_size_GA!F17)/E17))</f>
        <v>0.75</v>
      </c>
      <c r="J17" s="21"/>
      <c r="K17" s="21"/>
    </row>
    <row r="18" spans="1:12" x14ac:dyDescent="0.3">
      <c r="A18">
        <v>100</v>
      </c>
      <c r="B18">
        <v>25</v>
      </c>
      <c r="C18" s="1">
        <v>160</v>
      </c>
      <c r="D18">
        <v>1.1499999999999999</v>
      </c>
      <c r="E18">
        <v>3</v>
      </c>
      <c r="F18" t="b">
        <v>1</v>
      </c>
      <c r="G18" s="1">
        <v>223.64500000000001</v>
      </c>
      <c r="H18" s="23">
        <f>IF(E18=0, 0, IF(E18=large_size_GA!F18,1,(E18-large_size_GA!F18)/E18))</f>
        <v>0.66666666666666663</v>
      </c>
      <c r="J18" s="21"/>
      <c r="K18" s="21"/>
    </row>
    <row r="19" spans="1:12" x14ac:dyDescent="0.3">
      <c r="A19">
        <v>100</v>
      </c>
      <c r="B19">
        <v>25</v>
      </c>
      <c r="C19" s="1">
        <v>170</v>
      </c>
      <c r="D19">
        <v>1.1499999999999999</v>
      </c>
      <c r="E19">
        <v>0</v>
      </c>
      <c r="F19" t="b">
        <v>1</v>
      </c>
      <c r="G19" s="1">
        <v>307.60899999999998</v>
      </c>
      <c r="H19" s="23">
        <f>IF(E19=0, 0, IF(E19=large_size_GA!F19,1,(E19-large_size_GA!F19)/E19))</f>
        <v>0</v>
      </c>
      <c r="J19" s="21"/>
      <c r="K19" s="21"/>
    </row>
    <row r="20" spans="1:12" x14ac:dyDescent="0.3">
      <c r="A20">
        <v>100</v>
      </c>
      <c r="B20">
        <v>25</v>
      </c>
      <c r="C20" s="1">
        <v>180</v>
      </c>
      <c r="D20">
        <v>1.1499999999999999</v>
      </c>
      <c r="E20">
        <v>0</v>
      </c>
      <c r="F20" t="b">
        <v>1</v>
      </c>
      <c r="G20" s="1">
        <v>403.15199999999999</v>
      </c>
      <c r="H20" s="23">
        <f>IF(E20=0, 0, IF(E20=large_size_GA!F20,1,(E20-large_size_GA!F20)/E20))</f>
        <v>0</v>
      </c>
      <c r="J20" s="21"/>
      <c r="K20" s="21"/>
    </row>
    <row r="21" spans="1:12" x14ac:dyDescent="0.3">
      <c r="A21">
        <v>100</v>
      </c>
      <c r="B21">
        <v>25</v>
      </c>
      <c r="C21" s="1">
        <v>190</v>
      </c>
      <c r="D21">
        <v>1.1499999999999999</v>
      </c>
      <c r="E21">
        <v>0</v>
      </c>
      <c r="F21" t="b">
        <v>1</v>
      </c>
      <c r="G21" s="1">
        <v>358.59100000000001</v>
      </c>
      <c r="H21" s="23">
        <f>IF(E21=0, 0, IF(E21=large_size_GA!F21,1,(E21-large_size_GA!F21)/E21))</f>
        <v>0</v>
      </c>
      <c r="J21" s="21"/>
      <c r="K21" s="21"/>
    </row>
    <row r="22" spans="1:12" s="2" customFormat="1" x14ac:dyDescent="0.3">
      <c r="A22" s="2">
        <v>100</v>
      </c>
      <c r="B22" s="2">
        <v>25</v>
      </c>
      <c r="C22" s="3">
        <v>200</v>
      </c>
      <c r="D22" s="2">
        <v>1.1499999999999999</v>
      </c>
      <c r="E22" s="2">
        <v>0</v>
      </c>
      <c r="F22" s="2" t="b">
        <v>1</v>
      </c>
      <c r="G22" s="3">
        <v>228.80600000000001</v>
      </c>
      <c r="H22" s="27">
        <f>IF(E22=0, 0, IF(E22=large_size_GA!F22,1,(E22-large_size_GA!F22)/E22))</f>
        <v>0</v>
      </c>
      <c r="I22" s="5">
        <f>AVERAGE(G13:G22)</f>
        <v>274.49509999999998</v>
      </c>
      <c r="J22" s="22" cm="1">
        <f t="array" ref="J22">SUM(--(F13:F22))/10</f>
        <v>1</v>
      </c>
      <c r="K22" s="22">
        <f>AVERAGE(H13:H22)</f>
        <v>0.27166666666666661</v>
      </c>
      <c r="L22" s="2" cm="1">
        <f t="array" ref="L22">SUMPRODUCT(E13:E22-large_size!F13:F22)/10</f>
        <v>1.5</v>
      </c>
    </row>
    <row r="23" spans="1:12" x14ac:dyDescent="0.3">
      <c r="A23">
        <v>200</v>
      </c>
      <c r="B23">
        <v>20</v>
      </c>
      <c r="C23" s="1">
        <v>110</v>
      </c>
      <c r="D23">
        <v>1.1499999999999999</v>
      </c>
      <c r="E23">
        <v>59</v>
      </c>
      <c r="F23">
        <v>0</v>
      </c>
      <c r="G23" s="1">
        <v>2655.8380000000002</v>
      </c>
      <c r="H23" s="23">
        <f>IF(E23=0, 0, IF(E23=large_size_GA!F23,1,(E23-large_size_GA!F23)/E23))</f>
        <v>1</v>
      </c>
      <c r="J23" s="21"/>
      <c r="K23" s="21"/>
    </row>
    <row r="24" spans="1:12" x14ac:dyDescent="0.3">
      <c r="A24">
        <v>200</v>
      </c>
      <c r="B24">
        <v>20</v>
      </c>
      <c r="C24" s="1">
        <v>120</v>
      </c>
      <c r="D24">
        <v>1.1499999999999999</v>
      </c>
      <c r="E24">
        <v>45</v>
      </c>
      <c r="F24">
        <v>0</v>
      </c>
      <c r="G24" s="1">
        <v>2380.8649999999998</v>
      </c>
      <c r="H24" s="23">
        <f>IF(E24=0, 0, IF(E24=large_size_GA!F24,1,(E24-large_size_GA!F24)/E24))</f>
        <v>1</v>
      </c>
      <c r="J24" s="21"/>
      <c r="K24" s="21"/>
    </row>
    <row r="25" spans="1:12" x14ac:dyDescent="0.3">
      <c r="A25">
        <v>200</v>
      </c>
      <c r="B25">
        <v>20</v>
      </c>
      <c r="C25" s="1">
        <v>130</v>
      </c>
      <c r="D25">
        <v>1.1499999999999999</v>
      </c>
      <c r="E25">
        <v>65</v>
      </c>
      <c r="F25">
        <v>0</v>
      </c>
      <c r="G25" s="1">
        <v>1524.057</v>
      </c>
      <c r="H25" s="23">
        <f>IF(E25=0, 0, IF(E25=large_size_GA!F25,1,(E25-large_size_GA!F25)/E25))</f>
        <v>1</v>
      </c>
      <c r="J25" s="21"/>
      <c r="K25" s="21"/>
    </row>
    <row r="26" spans="1:12" x14ac:dyDescent="0.3">
      <c r="A26">
        <v>200</v>
      </c>
      <c r="B26">
        <v>20</v>
      </c>
      <c r="C26" s="1">
        <v>140</v>
      </c>
      <c r="D26">
        <v>1.1499999999999999</v>
      </c>
      <c r="E26">
        <v>58</v>
      </c>
      <c r="F26">
        <v>0</v>
      </c>
      <c r="G26" s="1">
        <v>3600.239</v>
      </c>
      <c r="H26" s="23">
        <f>IF(E26=0, 0, IF(E26=large_size_GA!F26,1,(E26-large_size_GA!F26)/E26))</f>
        <v>1</v>
      </c>
      <c r="J26" s="21"/>
      <c r="K26" s="21"/>
    </row>
    <row r="27" spans="1:12" x14ac:dyDescent="0.3">
      <c r="A27">
        <v>200</v>
      </c>
      <c r="B27">
        <v>20</v>
      </c>
      <c r="C27" s="1">
        <v>150</v>
      </c>
      <c r="D27">
        <v>1.1499999999999999</v>
      </c>
      <c r="E27">
        <v>73</v>
      </c>
      <c r="F27">
        <v>0</v>
      </c>
      <c r="G27" s="1">
        <v>1679.5229999999999</v>
      </c>
      <c r="H27" s="23">
        <f>IF(E27=0, 0, IF(E27=large_size_GA!F27,1,(E27-large_size_GA!F27)/E27))</f>
        <v>1</v>
      </c>
      <c r="J27" s="21"/>
      <c r="K27" s="21"/>
    </row>
    <row r="28" spans="1:12" x14ac:dyDescent="0.3">
      <c r="A28">
        <v>200</v>
      </c>
      <c r="B28">
        <v>20</v>
      </c>
      <c r="C28" s="1">
        <v>160</v>
      </c>
      <c r="D28">
        <v>1.1499999999999999</v>
      </c>
      <c r="E28">
        <v>63</v>
      </c>
      <c r="F28">
        <v>0</v>
      </c>
      <c r="G28" s="1">
        <v>3246.509</v>
      </c>
      <c r="H28" s="23">
        <f>IF(E28=0, 0, IF(E28=large_size_GA!F28,1,(E28-large_size_GA!F28)/E28))</f>
        <v>1</v>
      </c>
      <c r="J28" s="21"/>
      <c r="K28" s="21"/>
    </row>
    <row r="29" spans="1:12" x14ac:dyDescent="0.3">
      <c r="A29">
        <v>200</v>
      </c>
      <c r="B29">
        <v>20</v>
      </c>
      <c r="C29" s="1">
        <v>170</v>
      </c>
      <c r="D29">
        <v>1.1499999999999999</v>
      </c>
      <c r="E29">
        <v>57</v>
      </c>
      <c r="F29">
        <v>0</v>
      </c>
      <c r="G29" s="1">
        <v>3600.2669999999998</v>
      </c>
      <c r="H29" s="23">
        <f>IF(E29=0, 0, IF(E29=large_size_GA!F29,1,(E29-large_size_GA!F29)/E29))</f>
        <v>1</v>
      </c>
      <c r="J29" s="21"/>
      <c r="K29" s="21"/>
    </row>
    <row r="30" spans="1:12" x14ac:dyDescent="0.3">
      <c r="A30">
        <v>200</v>
      </c>
      <c r="B30">
        <v>20</v>
      </c>
      <c r="C30" s="1">
        <v>180</v>
      </c>
      <c r="D30">
        <v>1.1499999999999999</v>
      </c>
      <c r="E30">
        <v>46</v>
      </c>
      <c r="F30">
        <v>0</v>
      </c>
      <c r="G30" s="1">
        <v>2023.421</v>
      </c>
      <c r="H30" s="23">
        <f>IF(E30=0, 0, IF(E30=large_size_GA!F30,1,(E30-large_size_GA!F30)/E30))</f>
        <v>1</v>
      </c>
      <c r="J30" s="21"/>
      <c r="K30" s="21"/>
    </row>
    <row r="31" spans="1:12" x14ac:dyDescent="0.3">
      <c r="A31">
        <v>200</v>
      </c>
      <c r="B31">
        <v>20</v>
      </c>
      <c r="C31" s="1">
        <v>190</v>
      </c>
      <c r="D31">
        <v>1.1499999999999999</v>
      </c>
      <c r="E31">
        <v>54</v>
      </c>
      <c r="F31">
        <v>0</v>
      </c>
      <c r="G31" s="1">
        <v>1727.633</v>
      </c>
      <c r="H31" s="23">
        <f>IF(E31=0, 0, IF(E31=large_size_GA!F31,1,(E31-large_size_GA!F31)/E31))</f>
        <v>1</v>
      </c>
      <c r="J31" s="21"/>
      <c r="K31" s="21"/>
    </row>
    <row r="32" spans="1:12" s="2" customFormat="1" x14ac:dyDescent="0.3">
      <c r="A32" s="2">
        <v>200</v>
      </c>
      <c r="B32" s="2">
        <v>20</v>
      </c>
      <c r="C32" s="3">
        <v>200</v>
      </c>
      <c r="D32" s="2">
        <v>1.1499999999999999</v>
      </c>
      <c r="E32" s="2">
        <v>124</v>
      </c>
      <c r="F32" s="2">
        <v>0</v>
      </c>
      <c r="G32" s="3">
        <v>3142.8919999999998</v>
      </c>
      <c r="H32" s="27">
        <f>IF(E32=0, 0, IF(E32=large_size_GA!F32,1,(E32-large_size_GA!F32)/E32))</f>
        <v>1</v>
      </c>
      <c r="I32" s="5">
        <f>AVERAGE(G23:G32)</f>
        <v>2558.1243999999997</v>
      </c>
      <c r="J32" s="22" cm="1">
        <f t="array" ref="J32">SUM(--(F23:F32))/10</f>
        <v>0</v>
      </c>
      <c r="K32" s="22">
        <f>AVERAGE(H23:H32)</f>
        <v>1</v>
      </c>
      <c r="L32" s="2" cm="1">
        <f t="array" ref="L32">SUMPRODUCT(E23:E32-large_size!F23:F32)/10</f>
        <v>58.4</v>
      </c>
    </row>
    <row r="33" spans="1:12" x14ac:dyDescent="0.3">
      <c r="A33">
        <v>200</v>
      </c>
      <c r="B33">
        <v>25</v>
      </c>
      <c r="C33" s="1">
        <v>110</v>
      </c>
      <c r="D33">
        <v>1.1499999999999999</v>
      </c>
      <c r="E33">
        <v>21</v>
      </c>
      <c r="F33">
        <v>0</v>
      </c>
      <c r="G33" s="1">
        <v>1906.9690000000001</v>
      </c>
      <c r="H33" s="23">
        <f>IF(E33=0, 0, IF(E33=large_size_GA!F33,1,(E33-large_size_GA!F33)/E33))</f>
        <v>1</v>
      </c>
      <c r="J33" s="21"/>
      <c r="K33" s="21"/>
    </row>
    <row r="34" spans="1:12" x14ac:dyDescent="0.3">
      <c r="A34">
        <v>200</v>
      </c>
      <c r="B34">
        <v>25</v>
      </c>
      <c r="C34" s="1">
        <v>120</v>
      </c>
      <c r="D34">
        <v>1.1499999999999999</v>
      </c>
      <c r="E34">
        <v>29</v>
      </c>
      <c r="F34">
        <v>0</v>
      </c>
      <c r="G34" s="1">
        <v>1580.251</v>
      </c>
      <c r="H34" s="23">
        <f>IF(E34=0, 0, IF(E34=large_size_GA!F34,1,(E34-large_size_GA!F34)/E34))</f>
        <v>1</v>
      </c>
      <c r="J34" s="21"/>
      <c r="K34" s="21"/>
    </row>
    <row r="35" spans="1:12" x14ac:dyDescent="0.3">
      <c r="A35">
        <v>200</v>
      </c>
      <c r="B35">
        <v>25</v>
      </c>
      <c r="C35" s="1">
        <v>130</v>
      </c>
      <c r="D35">
        <v>1.1499999999999999</v>
      </c>
      <c r="E35">
        <v>12</v>
      </c>
      <c r="F35" t="b">
        <v>1</v>
      </c>
      <c r="G35" s="1">
        <v>1699.1010000000001</v>
      </c>
      <c r="H35" s="23">
        <f>IF(E35=0, 0, IF(E35=large_size_GA!F35,1,(E35-large_size_GA!F35)/E35))</f>
        <v>0.91666666666666663</v>
      </c>
      <c r="J35" s="21"/>
      <c r="K35" s="21"/>
    </row>
    <row r="36" spans="1:12" x14ac:dyDescent="0.3">
      <c r="A36">
        <v>200</v>
      </c>
      <c r="B36">
        <v>25</v>
      </c>
      <c r="C36" s="1">
        <v>140</v>
      </c>
      <c r="D36">
        <v>1.1499999999999999</v>
      </c>
      <c r="E36">
        <v>19</v>
      </c>
      <c r="F36">
        <v>0</v>
      </c>
      <c r="G36" s="1">
        <v>1668.2090000000001</v>
      </c>
      <c r="H36" s="23">
        <f>IF(E36=0, 0, IF(E36=large_size_GA!F36,1,(E36-large_size_GA!F36)/E36))</f>
        <v>1</v>
      </c>
      <c r="J36" s="21"/>
      <c r="K36" s="21"/>
    </row>
    <row r="37" spans="1:12" x14ac:dyDescent="0.3">
      <c r="A37">
        <v>200</v>
      </c>
      <c r="B37">
        <v>25</v>
      </c>
      <c r="C37" s="1">
        <v>150</v>
      </c>
      <c r="D37">
        <v>1.1499999999999999</v>
      </c>
      <c r="E37">
        <v>9</v>
      </c>
      <c r="F37" t="b">
        <v>1</v>
      </c>
      <c r="G37" s="1">
        <v>1258.027</v>
      </c>
      <c r="H37" s="23">
        <f>IF(E37=0, 0, IF(E37=large_size_GA!F37,1,(E37-large_size_GA!F37)/E37))</f>
        <v>0.88888888888888884</v>
      </c>
      <c r="J37" s="21"/>
      <c r="K37" s="21"/>
    </row>
    <row r="38" spans="1:12" x14ac:dyDescent="0.3">
      <c r="A38">
        <v>200</v>
      </c>
      <c r="B38">
        <v>25</v>
      </c>
      <c r="C38" s="1">
        <v>160</v>
      </c>
      <c r="D38">
        <v>1.1499999999999999</v>
      </c>
      <c r="E38">
        <v>5</v>
      </c>
      <c r="F38" t="b">
        <v>1</v>
      </c>
      <c r="G38" s="1">
        <v>3520.2739999999999</v>
      </c>
      <c r="H38" s="23">
        <f>IF(E38=0, 0, IF(E38=large_size_GA!F38,1,(E38-large_size_GA!F38)/E38))</f>
        <v>0.8</v>
      </c>
      <c r="J38" s="21"/>
      <c r="K38" s="21"/>
    </row>
    <row r="39" spans="1:12" x14ac:dyDescent="0.3">
      <c r="A39">
        <v>200</v>
      </c>
      <c r="B39">
        <v>25</v>
      </c>
      <c r="C39" s="1">
        <v>170</v>
      </c>
      <c r="D39">
        <v>1.1499999999999999</v>
      </c>
      <c r="E39">
        <v>17</v>
      </c>
      <c r="F39" t="b">
        <v>1</v>
      </c>
      <c r="G39" s="1">
        <v>1529.357</v>
      </c>
      <c r="H39" s="23">
        <f>IF(E39=0, 0, IF(E39=large_size_GA!F39,1,(E39-large_size_GA!F39)/E39))</f>
        <v>0.94117647058823528</v>
      </c>
      <c r="J39" s="21"/>
      <c r="K39" s="21"/>
    </row>
    <row r="40" spans="1:12" x14ac:dyDescent="0.3">
      <c r="A40">
        <v>200</v>
      </c>
      <c r="B40">
        <v>25</v>
      </c>
      <c r="C40" s="1">
        <v>180</v>
      </c>
      <c r="D40">
        <v>1.1499999999999999</v>
      </c>
      <c r="E40">
        <v>10</v>
      </c>
      <c r="F40" t="b">
        <v>1</v>
      </c>
      <c r="G40" s="1">
        <v>1580.9870000000001</v>
      </c>
      <c r="H40" s="23">
        <f>IF(E40=0, 0, IF(E40=large_size_GA!F40,1,(E40-large_size_GA!F40)/E40))</f>
        <v>0.9</v>
      </c>
      <c r="J40" s="21"/>
      <c r="K40" s="21"/>
    </row>
    <row r="41" spans="1:12" x14ac:dyDescent="0.3">
      <c r="A41">
        <v>200</v>
      </c>
      <c r="B41">
        <v>25</v>
      </c>
      <c r="C41" s="1">
        <v>190</v>
      </c>
      <c r="D41">
        <v>1.1499999999999999</v>
      </c>
      <c r="E41">
        <v>17</v>
      </c>
      <c r="F41" t="b">
        <v>1</v>
      </c>
      <c r="G41" s="1">
        <v>1105.665</v>
      </c>
      <c r="H41" s="23">
        <f>IF(E41=0, 0, IF(E41=large_size_GA!F41,1,(E41-large_size_GA!F41)/E41))</f>
        <v>0.94117647058823528</v>
      </c>
      <c r="J41" s="21"/>
      <c r="K41" s="21"/>
    </row>
    <row r="42" spans="1:12" s="2" customFormat="1" x14ac:dyDescent="0.3">
      <c r="A42" s="2">
        <v>200</v>
      </c>
      <c r="B42" s="2">
        <v>25</v>
      </c>
      <c r="C42" s="3">
        <v>200</v>
      </c>
      <c r="D42" s="2">
        <v>1.1499999999999999</v>
      </c>
      <c r="E42" s="2">
        <v>21</v>
      </c>
      <c r="F42" s="2" t="b">
        <v>1</v>
      </c>
      <c r="G42" s="3">
        <v>2122.5509999999999</v>
      </c>
      <c r="H42" s="27">
        <f>IF(E42=0, 0, IF(E42=large_size_GA!F42,1,(E42-large_size_GA!F42)/E42))</f>
        <v>0.95238095238095233</v>
      </c>
      <c r="I42" s="5">
        <f>AVERAGE(G33:G42)</f>
        <v>1797.1390999999999</v>
      </c>
      <c r="J42" s="22" cm="1">
        <f t="array" ref="J42">SUM(--(F33:F42))/10</f>
        <v>0.7</v>
      </c>
      <c r="K42" s="22">
        <f>AVERAGE(H33:H42)</f>
        <v>0.93402894491129784</v>
      </c>
      <c r="L42" s="2" cm="1">
        <f t="array" ref="L42">SUMPRODUCT(E33:E42-large_size!F33:F42)/10</f>
        <v>14.6</v>
      </c>
    </row>
    <row r="43" spans="1:12" s="7" customFormat="1" x14ac:dyDescent="0.3">
      <c r="A43"/>
      <c r="B43"/>
      <c r="C43" s="1"/>
      <c r="D43"/>
      <c r="E43"/>
      <c r="F43"/>
      <c r="G43" s="1"/>
      <c r="H43" s="28"/>
      <c r="I43" s="4"/>
      <c r="J43" t="str">
        <f t="shared" ref="J43:J82" si="0">IF(ISBLANK(E43),IF(ISBLANK(F43),"",100), IF(E43+F43=0, 0, IF(G43=3600, IF(E43=F43,1,(E43-F43)/E43*100), 0)))</f>
        <v/>
      </c>
    </row>
    <row r="44" spans="1:12" s="7" customFormat="1" x14ac:dyDescent="0.3">
      <c r="A44"/>
      <c r="B44"/>
      <c r="C44" s="1"/>
      <c r="D44"/>
      <c r="E44"/>
      <c r="F44"/>
      <c r="G44" s="1"/>
      <c r="H44" s="28"/>
      <c r="I44" s="4"/>
      <c r="J44" t="str">
        <f t="shared" si="0"/>
        <v/>
      </c>
    </row>
    <row r="45" spans="1:12" s="7" customFormat="1" x14ac:dyDescent="0.3">
      <c r="A45"/>
      <c r="B45"/>
      <c r="C45" s="1"/>
      <c r="D45"/>
      <c r="E45"/>
      <c r="F45"/>
      <c r="G45" s="1"/>
      <c r="H45" s="28"/>
      <c r="I45" s="4"/>
      <c r="J45" t="str">
        <f t="shared" si="0"/>
        <v/>
      </c>
    </row>
    <row r="46" spans="1:12" s="7" customFormat="1" x14ac:dyDescent="0.3">
      <c r="A46"/>
      <c r="B46"/>
      <c r="C46" s="1"/>
      <c r="D46"/>
      <c r="E46"/>
      <c r="F46"/>
      <c r="G46" s="1"/>
      <c r="H46" s="28"/>
      <c r="I46" s="4"/>
      <c r="J46" t="str">
        <f t="shared" si="0"/>
        <v/>
      </c>
    </row>
    <row r="47" spans="1:12" s="7" customFormat="1" x14ac:dyDescent="0.3">
      <c r="A47"/>
      <c r="B47"/>
      <c r="C47" s="1"/>
      <c r="D47"/>
      <c r="E47"/>
      <c r="F47"/>
      <c r="G47" s="1"/>
      <c r="H47" s="28"/>
      <c r="I47" s="4"/>
      <c r="J47" t="str">
        <f t="shared" si="0"/>
        <v/>
      </c>
    </row>
    <row r="48" spans="1:12" s="7" customFormat="1" x14ac:dyDescent="0.3">
      <c r="A48"/>
      <c r="B48"/>
      <c r="C48" s="1"/>
      <c r="D48"/>
      <c r="E48"/>
      <c r="F48"/>
      <c r="G48" s="1"/>
      <c r="H48" s="28"/>
      <c r="I48" s="4"/>
      <c r="J48" t="str">
        <f t="shared" si="0"/>
        <v/>
      </c>
    </row>
    <row r="49" spans="1:10" s="7" customFormat="1" x14ac:dyDescent="0.3">
      <c r="A49"/>
      <c r="B49"/>
      <c r="C49" s="1"/>
      <c r="D49"/>
      <c r="E49"/>
      <c r="F49"/>
      <c r="G49" s="1"/>
      <c r="H49" s="28"/>
      <c r="I49" s="4"/>
      <c r="J49" t="str">
        <f t="shared" si="0"/>
        <v/>
      </c>
    </row>
    <row r="50" spans="1:10" s="7" customFormat="1" x14ac:dyDescent="0.3">
      <c r="A50"/>
      <c r="B50"/>
      <c r="C50" s="1"/>
      <c r="D50"/>
      <c r="E50"/>
      <c r="F50"/>
      <c r="G50" s="1"/>
      <c r="H50" s="28"/>
      <c r="I50" s="4"/>
      <c r="J50" t="str">
        <f t="shared" si="0"/>
        <v/>
      </c>
    </row>
    <row r="51" spans="1:10" s="7" customFormat="1" x14ac:dyDescent="0.3">
      <c r="A51"/>
      <c r="B51"/>
      <c r="C51" s="1"/>
      <c r="D51"/>
      <c r="E51"/>
      <c r="F51"/>
      <c r="G51" s="1"/>
      <c r="H51" s="28"/>
      <c r="I51" s="4"/>
      <c r="J51" t="str">
        <f t="shared" si="0"/>
        <v/>
      </c>
    </row>
    <row r="52" spans="1:10" s="2" customFormat="1" x14ac:dyDescent="0.3">
      <c r="C52" s="3"/>
      <c r="G52" s="3"/>
      <c r="H52" s="3"/>
      <c r="I52" s="5" t="e">
        <f>AVERAGE(G43:G52)</f>
        <v>#DIV/0!</v>
      </c>
      <c r="J52" s="2" t="str">
        <f t="shared" si="0"/>
        <v/>
      </c>
    </row>
    <row r="53" spans="1:10" s="7" customFormat="1" x14ac:dyDescent="0.3">
      <c r="A53"/>
      <c r="B53"/>
      <c r="C53" s="1"/>
      <c r="D53"/>
      <c r="E53"/>
      <c r="F53"/>
      <c r="G53" s="1"/>
      <c r="H53" s="28"/>
      <c r="I53" s="4"/>
      <c r="J53" t="str">
        <f t="shared" si="0"/>
        <v/>
      </c>
    </row>
    <row r="54" spans="1:10" s="7" customFormat="1" x14ac:dyDescent="0.3">
      <c r="A54"/>
      <c r="B54"/>
      <c r="C54" s="1"/>
      <c r="D54"/>
      <c r="E54"/>
      <c r="F54"/>
      <c r="G54" s="1"/>
      <c r="H54" s="28"/>
      <c r="I54" s="4"/>
      <c r="J54" t="str">
        <f t="shared" si="0"/>
        <v/>
      </c>
    </row>
    <row r="55" spans="1:10" s="7" customFormat="1" x14ac:dyDescent="0.3">
      <c r="A55"/>
      <c r="B55"/>
      <c r="C55" s="1"/>
      <c r="D55"/>
      <c r="E55"/>
      <c r="F55"/>
      <c r="G55" s="1"/>
      <c r="H55" s="28"/>
      <c r="I55" s="4"/>
      <c r="J55" t="str">
        <f t="shared" si="0"/>
        <v/>
      </c>
    </row>
    <row r="56" spans="1:10" s="7" customFormat="1" x14ac:dyDescent="0.3">
      <c r="A56"/>
      <c r="B56"/>
      <c r="C56" s="1"/>
      <c r="D56"/>
      <c r="E56"/>
      <c r="F56"/>
      <c r="G56" s="1"/>
      <c r="H56" s="28"/>
      <c r="I56" s="4"/>
      <c r="J56" t="str">
        <f t="shared" si="0"/>
        <v/>
      </c>
    </row>
    <row r="57" spans="1:10" s="7" customFormat="1" x14ac:dyDescent="0.3">
      <c r="A57"/>
      <c r="B57"/>
      <c r="C57" s="1"/>
      <c r="D57"/>
      <c r="E57"/>
      <c r="F57"/>
      <c r="G57" s="1"/>
      <c r="H57" s="28"/>
      <c r="I57" s="4"/>
      <c r="J57" t="str">
        <f t="shared" si="0"/>
        <v/>
      </c>
    </row>
    <row r="58" spans="1:10" s="7" customFormat="1" x14ac:dyDescent="0.3">
      <c r="A58"/>
      <c r="B58"/>
      <c r="C58" s="1"/>
      <c r="D58"/>
      <c r="E58"/>
      <c r="F58"/>
      <c r="G58" s="1"/>
      <c r="H58" s="28"/>
      <c r="I58" s="4"/>
      <c r="J58" t="str">
        <f t="shared" si="0"/>
        <v/>
      </c>
    </row>
    <row r="59" spans="1:10" s="7" customFormat="1" x14ac:dyDescent="0.3">
      <c r="A59"/>
      <c r="B59"/>
      <c r="C59" s="1"/>
      <c r="D59"/>
      <c r="E59"/>
      <c r="F59"/>
      <c r="G59" s="1"/>
      <c r="H59" s="28"/>
      <c r="I59" s="4"/>
      <c r="J59" t="str">
        <f t="shared" si="0"/>
        <v/>
      </c>
    </row>
    <row r="60" spans="1:10" s="7" customFormat="1" x14ac:dyDescent="0.3">
      <c r="A60"/>
      <c r="B60"/>
      <c r="C60" s="1"/>
      <c r="D60"/>
      <c r="E60"/>
      <c r="F60"/>
      <c r="G60" s="1"/>
      <c r="H60" s="28"/>
      <c r="I60" s="4"/>
      <c r="J60" t="str">
        <f t="shared" si="0"/>
        <v/>
      </c>
    </row>
    <row r="61" spans="1:10" s="7" customFormat="1" x14ac:dyDescent="0.3">
      <c r="A61"/>
      <c r="B61"/>
      <c r="C61" s="1"/>
      <c r="D61"/>
      <c r="E61"/>
      <c r="F61"/>
      <c r="G61" s="1"/>
      <c r="H61" s="28"/>
      <c r="I61" s="4"/>
      <c r="J61" t="str">
        <f t="shared" si="0"/>
        <v/>
      </c>
    </row>
    <row r="62" spans="1:10" s="2" customFormat="1" x14ac:dyDescent="0.3">
      <c r="C62" s="3"/>
      <c r="G62" s="3"/>
      <c r="H62" s="3"/>
      <c r="I62" s="5" t="e">
        <f>AVERAGE(G53:G62)</f>
        <v>#DIV/0!</v>
      </c>
      <c r="J62" s="2" t="str">
        <f t="shared" si="0"/>
        <v/>
      </c>
    </row>
    <row r="63" spans="1:10" s="7" customFormat="1" x14ac:dyDescent="0.3">
      <c r="A63"/>
      <c r="B63"/>
      <c r="C63" s="1"/>
      <c r="D63"/>
      <c r="E63"/>
      <c r="F63"/>
      <c r="G63" s="1"/>
      <c r="H63" s="28"/>
      <c r="I63" s="4"/>
      <c r="J63" t="str">
        <f t="shared" si="0"/>
        <v/>
      </c>
    </row>
    <row r="64" spans="1:10" s="7" customFormat="1" x14ac:dyDescent="0.3">
      <c r="A64"/>
      <c r="B64"/>
      <c r="C64" s="1"/>
      <c r="D64"/>
      <c r="E64"/>
      <c r="F64"/>
      <c r="G64" s="1"/>
      <c r="H64" s="28"/>
      <c r="I64" s="4"/>
      <c r="J64" t="str">
        <f t="shared" si="0"/>
        <v/>
      </c>
    </row>
    <row r="65" spans="1:10" s="7" customFormat="1" x14ac:dyDescent="0.3">
      <c r="A65"/>
      <c r="B65"/>
      <c r="C65" s="1"/>
      <c r="D65"/>
      <c r="E65"/>
      <c r="F65"/>
      <c r="G65" s="1"/>
      <c r="H65" s="28"/>
      <c r="I65" s="4"/>
      <c r="J65" t="str">
        <f t="shared" si="0"/>
        <v/>
      </c>
    </row>
    <row r="66" spans="1:10" s="7" customFormat="1" x14ac:dyDescent="0.3">
      <c r="A66"/>
      <c r="B66"/>
      <c r="C66" s="1"/>
      <c r="D66"/>
      <c r="E66"/>
      <c r="F66"/>
      <c r="G66" s="1"/>
      <c r="H66" s="28"/>
      <c r="I66" s="4"/>
      <c r="J66" t="str">
        <f t="shared" si="0"/>
        <v/>
      </c>
    </row>
    <row r="67" spans="1:10" s="7" customFormat="1" x14ac:dyDescent="0.3">
      <c r="A67"/>
      <c r="B67"/>
      <c r="C67" s="1"/>
      <c r="D67"/>
      <c r="E67"/>
      <c r="F67"/>
      <c r="G67" s="1"/>
      <c r="H67" s="28"/>
      <c r="I67" s="4"/>
      <c r="J67" t="str">
        <f t="shared" si="0"/>
        <v/>
      </c>
    </row>
    <row r="68" spans="1:10" s="7" customFormat="1" x14ac:dyDescent="0.3">
      <c r="A68"/>
      <c r="B68"/>
      <c r="C68" s="1"/>
      <c r="D68"/>
      <c r="E68"/>
      <c r="F68"/>
      <c r="G68" s="1"/>
      <c r="H68" s="28"/>
      <c r="I68" s="4"/>
      <c r="J68" t="str">
        <f t="shared" si="0"/>
        <v/>
      </c>
    </row>
    <row r="69" spans="1:10" s="7" customFormat="1" x14ac:dyDescent="0.3">
      <c r="A69"/>
      <c r="B69"/>
      <c r="C69" s="1"/>
      <c r="D69"/>
      <c r="E69"/>
      <c r="F69"/>
      <c r="G69" s="1"/>
      <c r="H69" s="28"/>
      <c r="I69" s="4"/>
      <c r="J69" t="str">
        <f t="shared" si="0"/>
        <v/>
      </c>
    </row>
    <row r="70" spans="1:10" s="7" customFormat="1" x14ac:dyDescent="0.3">
      <c r="A70"/>
      <c r="B70"/>
      <c r="C70" s="1"/>
      <c r="D70"/>
      <c r="E70"/>
      <c r="F70"/>
      <c r="G70" s="1"/>
      <c r="H70" s="28"/>
      <c r="I70" s="4"/>
      <c r="J70" t="str">
        <f t="shared" si="0"/>
        <v/>
      </c>
    </row>
    <row r="71" spans="1:10" s="7" customFormat="1" x14ac:dyDescent="0.3">
      <c r="A71"/>
      <c r="B71"/>
      <c r="C71" s="1"/>
      <c r="D71"/>
      <c r="E71"/>
      <c r="F71"/>
      <c r="G71" s="1"/>
      <c r="H71" s="28"/>
      <c r="I71" s="4"/>
      <c r="J71" t="str">
        <f t="shared" si="0"/>
        <v/>
      </c>
    </row>
    <row r="72" spans="1:10" s="2" customFormat="1" x14ac:dyDescent="0.3">
      <c r="C72" s="3"/>
      <c r="G72" s="3"/>
      <c r="H72" s="3"/>
      <c r="I72" s="5" t="e">
        <f>AVERAGE(G63:G72)</f>
        <v>#DIV/0!</v>
      </c>
      <c r="J72" s="2" t="str">
        <f t="shared" si="0"/>
        <v/>
      </c>
    </row>
    <row r="73" spans="1:10" s="7" customFormat="1" x14ac:dyDescent="0.3">
      <c r="A73"/>
      <c r="B73"/>
      <c r="C73" s="1"/>
      <c r="D73"/>
      <c r="E73"/>
      <c r="F73"/>
      <c r="G73" s="1"/>
      <c r="H73" s="28"/>
      <c r="I73" s="4"/>
      <c r="J73" t="str">
        <f t="shared" si="0"/>
        <v/>
      </c>
    </row>
    <row r="74" spans="1:10" s="7" customFormat="1" x14ac:dyDescent="0.3">
      <c r="A74"/>
      <c r="B74"/>
      <c r="C74" s="1"/>
      <c r="D74"/>
      <c r="E74"/>
      <c r="F74"/>
      <c r="G74" s="1"/>
      <c r="H74" s="28"/>
      <c r="I74" s="4"/>
      <c r="J74" t="str">
        <f t="shared" si="0"/>
        <v/>
      </c>
    </row>
    <row r="75" spans="1:10" s="7" customFormat="1" x14ac:dyDescent="0.3">
      <c r="A75"/>
      <c r="B75"/>
      <c r="C75" s="1"/>
      <c r="D75"/>
      <c r="E75"/>
      <c r="F75"/>
      <c r="G75" s="1"/>
      <c r="H75" s="28"/>
      <c r="I75" s="4"/>
      <c r="J75" t="str">
        <f t="shared" si="0"/>
        <v/>
      </c>
    </row>
    <row r="76" spans="1:10" s="7" customFormat="1" x14ac:dyDescent="0.3">
      <c r="A76"/>
      <c r="B76"/>
      <c r="C76" s="1"/>
      <c r="D76"/>
      <c r="E76"/>
      <c r="F76"/>
      <c r="G76" s="1"/>
      <c r="H76" s="28"/>
      <c r="I76" s="4"/>
      <c r="J76" t="str">
        <f t="shared" si="0"/>
        <v/>
      </c>
    </row>
    <row r="77" spans="1:10" s="7" customFormat="1" x14ac:dyDescent="0.3">
      <c r="A77"/>
      <c r="B77"/>
      <c r="C77" s="1"/>
      <c r="D77"/>
      <c r="E77"/>
      <c r="F77"/>
      <c r="G77" s="1"/>
      <c r="H77" s="28"/>
      <c r="I77" s="4"/>
      <c r="J77" t="str">
        <f t="shared" si="0"/>
        <v/>
      </c>
    </row>
    <row r="78" spans="1:10" s="7" customFormat="1" x14ac:dyDescent="0.3">
      <c r="A78"/>
      <c r="B78"/>
      <c r="C78" s="1"/>
      <c r="D78"/>
      <c r="E78"/>
      <c r="F78"/>
      <c r="G78" s="1"/>
      <c r="H78" s="28"/>
      <c r="I78" s="4"/>
      <c r="J78" t="str">
        <f t="shared" si="0"/>
        <v/>
      </c>
    </row>
    <row r="79" spans="1:10" s="7" customFormat="1" x14ac:dyDescent="0.3">
      <c r="A79"/>
      <c r="B79"/>
      <c r="C79" s="1"/>
      <c r="D79"/>
      <c r="E79"/>
      <c r="F79"/>
      <c r="G79" s="1"/>
      <c r="H79" s="28"/>
      <c r="I79" s="4"/>
      <c r="J79" t="str">
        <f t="shared" si="0"/>
        <v/>
      </c>
    </row>
    <row r="80" spans="1:10" s="7" customFormat="1" x14ac:dyDescent="0.3">
      <c r="A80"/>
      <c r="B80"/>
      <c r="C80" s="1"/>
      <c r="D80"/>
      <c r="E80"/>
      <c r="F80"/>
      <c r="G80" s="1"/>
      <c r="H80" s="28"/>
      <c r="I80" s="4"/>
      <c r="J80" t="str">
        <f t="shared" si="0"/>
        <v/>
      </c>
    </row>
    <row r="81" spans="1:10" s="7" customFormat="1" x14ac:dyDescent="0.3">
      <c r="A81"/>
      <c r="B81"/>
      <c r="C81" s="1"/>
      <c r="D81"/>
      <c r="E81"/>
      <c r="F81"/>
      <c r="G81" s="1"/>
      <c r="H81" s="28"/>
      <c r="I81" s="4"/>
      <c r="J81" t="str">
        <f t="shared" si="0"/>
        <v/>
      </c>
    </row>
    <row r="82" spans="1:10" s="2" customFormat="1" x14ac:dyDescent="0.3">
      <c r="C82" s="3"/>
      <c r="G82" s="3"/>
      <c r="H82" s="3"/>
      <c r="I82" s="5" t="e">
        <f>AVERAGE(G73:G82)</f>
        <v>#DIV/0!</v>
      </c>
      <c r="J82" s="2" t="str">
        <f t="shared" si="0"/>
        <v/>
      </c>
    </row>
    <row r="83" spans="1:10" s="7" customFormat="1" x14ac:dyDescent="0.3">
      <c r="A83"/>
      <c r="B83"/>
      <c r="C83"/>
      <c r="D83">
        <f>AVERAGE(D3:D82)</f>
        <v>1.149999999999999</v>
      </c>
      <c r="E83">
        <f>AVERAGE(E3:E82)</f>
        <v>21.175000000000001</v>
      </c>
      <c r="F83">
        <f>AVERAGE(F3:F82)</f>
        <v>0</v>
      </c>
      <c r="G83" s="1">
        <f>AVERAGE(G3:G82)</f>
        <v>1249.8154500000003</v>
      </c>
      <c r="H83" s="28"/>
      <c r="I83" s="4"/>
      <c r="J83">
        <f>COUNTIF(J3:J82,"&gt;0")</f>
        <v>3</v>
      </c>
    </row>
    <row r="163" spans="1:10" s="7" customFormat="1" x14ac:dyDescent="0.3">
      <c r="A163"/>
      <c r="B163"/>
      <c r="C163"/>
      <c r="D163" s="6">
        <f>AVERAGE(D12:D82)</f>
        <v>1.1499999999999992</v>
      </c>
      <c r="E163">
        <f>SUM(E12:E82)</f>
        <v>825</v>
      </c>
      <c r="F163">
        <f>SUM(F12:F82)</f>
        <v>0</v>
      </c>
      <c r="G163" s="1"/>
      <c r="H163" s="28"/>
      <c r="I163" s="4" t="e">
        <f>AVERAGE(I12:I82)</f>
        <v>#DIV/0!</v>
      </c>
      <c r="J163">
        <f>COUNTIF(J12:J82,"&gt;0")</f>
        <v>3</v>
      </c>
    </row>
  </sheetData>
  <autoFilter ref="I1:I163" xr:uid="{3BDC2A91-F62C-482F-8F5A-8E214630FF7D}"/>
  <phoneticPr fontId="1" type="noConversion"/>
  <conditionalFormatting sqref="H1 H83:H162">
    <cfRule type="containsText" dxfId="40" priority="1" operator="containsText" text="false">
      <formula>NOT(ISERROR(SEARCH("false",H1)))</formula>
    </cfRule>
  </conditionalFormatting>
  <conditionalFormatting sqref="H2:H42 J43:K82">
    <cfRule type="containsText" dxfId="39" priority="2" operator="containsText" text="FALSE">
      <formula>NOT(ISERROR(SEARCH("FALSE",H2)))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CFB4-E366-498A-BDE2-75A596510A20}">
  <dimension ref="A1:O163"/>
  <sheetViews>
    <sheetView zoomScale="70" zoomScaleNormal="70" workbookViewId="0">
      <selection activeCell="N36" sqref="N36"/>
    </sheetView>
  </sheetViews>
  <sheetFormatPr defaultRowHeight="16.5" x14ac:dyDescent="0.3"/>
  <cols>
    <col min="1" max="1" width="8.875" bestFit="1" customWidth="1"/>
    <col min="2" max="2" width="13.75" bestFit="1" customWidth="1"/>
    <col min="5" max="5" width="14.75" bestFit="1" customWidth="1"/>
    <col min="6" max="6" width="12.625" bestFit="1" customWidth="1"/>
    <col min="7" max="7" width="9.75" bestFit="1" customWidth="1"/>
    <col min="8" max="8" width="15.125" bestFit="1" customWidth="1"/>
    <col min="9" max="9" width="14.125" bestFit="1" customWidth="1"/>
    <col min="10" max="10" width="13.625" bestFit="1" customWidth="1"/>
    <col min="12" max="12" width="13" style="4" bestFit="1" customWidth="1"/>
    <col min="13" max="13" width="12.5" style="21" bestFit="1" customWidth="1"/>
    <col min="14" max="14" width="13.125" bestFit="1" customWidth="1"/>
    <col min="15" max="15" width="12.375" bestFit="1" customWidth="1"/>
  </cols>
  <sheetData>
    <row r="1" spans="1:15" s="13" customFormat="1" x14ac:dyDescent="0.3">
      <c r="C1" s="12"/>
      <c r="D1" s="13" t="s">
        <v>18</v>
      </c>
      <c r="J1" s="12"/>
      <c r="L1" s="11"/>
      <c r="M1" s="25"/>
    </row>
    <row r="2" spans="1:15" s="9" customFormat="1" x14ac:dyDescent="0.3">
      <c r="A2" s="9" t="s">
        <v>8</v>
      </c>
      <c r="B2" s="9" t="s">
        <v>9</v>
      </c>
      <c r="C2" s="17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17" t="s">
        <v>17</v>
      </c>
      <c r="K2" s="9" t="s">
        <v>5</v>
      </c>
      <c r="L2" s="15" t="s">
        <v>23</v>
      </c>
      <c r="M2" s="26" t="s">
        <v>21</v>
      </c>
      <c r="N2" s="9" t="s">
        <v>22</v>
      </c>
      <c r="O2" s="9" t="s">
        <v>24</v>
      </c>
    </row>
    <row r="3" spans="1:15" x14ac:dyDescent="0.3">
      <c r="A3">
        <v>100</v>
      </c>
      <c r="B3">
        <v>20</v>
      </c>
      <c r="C3" s="1">
        <v>110</v>
      </c>
      <c r="D3">
        <v>1.1499999999999999</v>
      </c>
      <c r="E3">
        <v>0</v>
      </c>
      <c r="F3">
        <v>0</v>
      </c>
      <c r="G3">
        <v>0.23599999999999999</v>
      </c>
      <c r="H3">
        <v>6</v>
      </c>
      <c r="I3">
        <v>6</v>
      </c>
      <c r="J3" s="1">
        <v>1</v>
      </c>
      <c r="K3" s="21">
        <f t="shared" ref="K3:K42" si="0">IF(ISBLANK(E3),IF(ISBLANK(F3),"",1), IF(E3+F3=0, 0, IF(G3=3600, IF(E3=F3,1,(E3-F3)/E3), 0)))</f>
        <v>0</v>
      </c>
      <c r="N3" s="21"/>
    </row>
    <row r="4" spans="1:15" x14ac:dyDescent="0.3">
      <c r="A4">
        <v>100</v>
      </c>
      <c r="B4">
        <v>20</v>
      </c>
      <c r="C4" s="1">
        <v>120</v>
      </c>
      <c r="D4">
        <v>1.1499999999999999</v>
      </c>
      <c r="E4">
        <v>0</v>
      </c>
      <c r="F4">
        <v>0</v>
      </c>
      <c r="G4">
        <v>0.60499999999999998</v>
      </c>
      <c r="H4">
        <v>7</v>
      </c>
      <c r="I4">
        <v>25</v>
      </c>
      <c r="J4" s="1">
        <v>1</v>
      </c>
      <c r="K4" s="21">
        <f t="shared" si="0"/>
        <v>0</v>
      </c>
      <c r="N4" s="21"/>
    </row>
    <row r="5" spans="1:15" x14ac:dyDescent="0.3">
      <c r="A5">
        <v>100</v>
      </c>
      <c r="B5">
        <v>20</v>
      </c>
      <c r="C5" s="1">
        <v>130</v>
      </c>
      <c r="D5">
        <v>1.1499999999999999</v>
      </c>
      <c r="E5">
        <v>0</v>
      </c>
      <c r="F5">
        <v>0</v>
      </c>
      <c r="G5">
        <v>0.626</v>
      </c>
      <c r="H5">
        <v>7</v>
      </c>
      <c r="I5">
        <v>12</v>
      </c>
      <c r="J5" s="1">
        <v>1</v>
      </c>
      <c r="K5" s="21">
        <f t="shared" si="0"/>
        <v>0</v>
      </c>
      <c r="N5" s="21"/>
    </row>
    <row r="6" spans="1:15" x14ac:dyDescent="0.3">
      <c r="A6">
        <v>100</v>
      </c>
      <c r="B6">
        <v>20</v>
      </c>
      <c r="C6" s="1">
        <v>140</v>
      </c>
      <c r="D6">
        <v>1.1499999999999999</v>
      </c>
      <c r="E6">
        <v>0</v>
      </c>
      <c r="F6">
        <v>0</v>
      </c>
      <c r="G6">
        <v>0.22900000000000001</v>
      </c>
      <c r="H6">
        <v>7</v>
      </c>
      <c r="I6">
        <v>7</v>
      </c>
      <c r="J6" s="1">
        <v>1</v>
      </c>
      <c r="K6" s="21">
        <f t="shared" si="0"/>
        <v>0</v>
      </c>
      <c r="N6" s="21"/>
    </row>
    <row r="7" spans="1:15" x14ac:dyDescent="0.3">
      <c r="A7">
        <v>100</v>
      </c>
      <c r="B7">
        <v>20</v>
      </c>
      <c r="C7" s="1">
        <v>150</v>
      </c>
      <c r="D7">
        <v>1.1499999999999999</v>
      </c>
      <c r="E7">
        <v>2</v>
      </c>
      <c r="F7">
        <v>2</v>
      </c>
      <c r="G7">
        <v>175.233</v>
      </c>
      <c r="H7">
        <v>9</v>
      </c>
      <c r="I7">
        <v>9</v>
      </c>
      <c r="J7" s="1">
        <v>2</v>
      </c>
      <c r="K7" s="21">
        <f t="shared" si="0"/>
        <v>0</v>
      </c>
      <c r="N7" s="21"/>
    </row>
    <row r="8" spans="1:15" x14ac:dyDescent="0.3">
      <c r="A8">
        <v>100</v>
      </c>
      <c r="B8">
        <v>20</v>
      </c>
      <c r="C8" s="1">
        <v>160</v>
      </c>
      <c r="D8">
        <v>1.1499999999999999</v>
      </c>
      <c r="E8">
        <v>0</v>
      </c>
      <c r="F8">
        <v>0</v>
      </c>
      <c r="G8">
        <v>0.217</v>
      </c>
      <c r="H8">
        <v>4</v>
      </c>
      <c r="I8">
        <v>4</v>
      </c>
      <c r="J8" s="1">
        <v>1</v>
      </c>
      <c r="K8" s="21">
        <f t="shared" si="0"/>
        <v>0</v>
      </c>
      <c r="N8" s="21"/>
    </row>
    <row r="9" spans="1:15" x14ac:dyDescent="0.3">
      <c r="A9">
        <v>100</v>
      </c>
      <c r="B9">
        <v>20</v>
      </c>
      <c r="C9" s="1">
        <v>170</v>
      </c>
      <c r="D9">
        <v>1.1499999999999999</v>
      </c>
      <c r="E9">
        <v>1</v>
      </c>
      <c r="F9">
        <v>1</v>
      </c>
      <c r="G9">
        <v>92.905000000000001</v>
      </c>
      <c r="H9">
        <v>8</v>
      </c>
      <c r="I9">
        <v>8</v>
      </c>
      <c r="J9" s="1">
        <v>2</v>
      </c>
      <c r="K9" s="21">
        <f t="shared" si="0"/>
        <v>0</v>
      </c>
      <c r="N9" s="21"/>
    </row>
    <row r="10" spans="1:15" x14ac:dyDescent="0.3">
      <c r="A10">
        <v>100</v>
      </c>
      <c r="B10">
        <v>20</v>
      </c>
      <c r="C10" s="1">
        <v>180</v>
      </c>
      <c r="D10">
        <v>1.1499999999999999</v>
      </c>
      <c r="E10">
        <v>0</v>
      </c>
      <c r="F10">
        <v>0</v>
      </c>
      <c r="G10">
        <v>0.47099999999999997</v>
      </c>
      <c r="H10">
        <v>6</v>
      </c>
      <c r="I10">
        <v>16</v>
      </c>
      <c r="J10" s="1">
        <v>1</v>
      </c>
      <c r="K10" s="21">
        <f t="shared" si="0"/>
        <v>0</v>
      </c>
      <c r="N10" s="21"/>
    </row>
    <row r="11" spans="1:15" x14ac:dyDescent="0.3">
      <c r="A11">
        <v>100</v>
      </c>
      <c r="B11">
        <v>20</v>
      </c>
      <c r="C11" s="1">
        <v>190</v>
      </c>
      <c r="D11">
        <v>1.1499999999999999</v>
      </c>
      <c r="E11">
        <v>0</v>
      </c>
      <c r="F11">
        <v>0</v>
      </c>
      <c r="G11">
        <v>0.214</v>
      </c>
      <c r="H11">
        <v>6</v>
      </c>
      <c r="I11">
        <v>6</v>
      </c>
      <c r="J11" s="1">
        <v>1</v>
      </c>
      <c r="K11" s="21">
        <f t="shared" si="0"/>
        <v>0</v>
      </c>
      <c r="N11" s="21"/>
    </row>
    <row r="12" spans="1:15" s="2" customFormat="1" x14ac:dyDescent="0.3">
      <c r="A12" s="2">
        <v>100</v>
      </c>
      <c r="B12" s="2">
        <v>20</v>
      </c>
      <c r="C12" s="3">
        <v>200</v>
      </c>
      <c r="D12" s="2">
        <v>1.1499999999999999</v>
      </c>
      <c r="E12" s="2">
        <v>1</v>
      </c>
      <c r="F12" s="2">
        <v>1</v>
      </c>
      <c r="G12" s="2">
        <v>103.39100000000001</v>
      </c>
      <c r="H12" s="2">
        <v>8</v>
      </c>
      <c r="I12" s="2">
        <v>8</v>
      </c>
      <c r="J12" s="3">
        <v>2</v>
      </c>
      <c r="K12" s="22">
        <f t="shared" si="0"/>
        <v>0</v>
      </c>
      <c r="L12" s="5">
        <f>AVERAGE(G3:G12)</f>
        <v>37.412700000000008</v>
      </c>
      <c r="M12" s="22">
        <f>1-COUNTBLANK(E3:E12)/10</f>
        <v>1</v>
      </c>
      <c r="N12" s="22">
        <f>AVERAGE(K3:K12)</f>
        <v>0</v>
      </c>
      <c r="O12" s="2" cm="1">
        <f t="array" ref="O12">SUMPRODUCT(E3:E12-F3:F12)/10</f>
        <v>0</v>
      </c>
    </row>
    <row r="13" spans="1:15" x14ac:dyDescent="0.3">
      <c r="A13">
        <v>100</v>
      </c>
      <c r="B13">
        <v>25</v>
      </c>
      <c r="C13" s="1">
        <v>110</v>
      </c>
      <c r="D13">
        <v>1.1499999999999999</v>
      </c>
      <c r="E13">
        <v>0</v>
      </c>
      <c r="F13">
        <v>0</v>
      </c>
      <c r="G13">
        <v>0.46400000000000002</v>
      </c>
      <c r="H13">
        <v>11</v>
      </c>
      <c r="I13">
        <v>27</v>
      </c>
      <c r="J13" s="1">
        <v>1</v>
      </c>
      <c r="K13" s="21">
        <f t="shared" si="0"/>
        <v>0</v>
      </c>
      <c r="N13" s="21"/>
    </row>
    <row r="14" spans="1:15" x14ac:dyDescent="0.3">
      <c r="A14">
        <v>100</v>
      </c>
      <c r="B14">
        <v>25</v>
      </c>
      <c r="C14" s="1">
        <v>120</v>
      </c>
      <c r="D14">
        <v>1.1499999999999999</v>
      </c>
      <c r="E14">
        <v>0</v>
      </c>
      <c r="F14">
        <v>0</v>
      </c>
      <c r="G14">
        <v>2.0489999999999999</v>
      </c>
      <c r="H14">
        <v>9</v>
      </c>
      <c r="I14">
        <v>108</v>
      </c>
      <c r="J14" s="1">
        <v>1</v>
      </c>
      <c r="K14" s="21">
        <f t="shared" si="0"/>
        <v>0</v>
      </c>
      <c r="N14" s="21"/>
    </row>
    <row r="15" spans="1:15" x14ac:dyDescent="0.3">
      <c r="A15">
        <v>100</v>
      </c>
      <c r="B15">
        <v>25</v>
      </c>
      <c r="C15" s="1">
        <v>130</v>
      </c>
      <c r="D15">
        <v>1.1499999999999999</v>
      </c>
      <c r="E15">
        <v>0</v>
      </c>
      <c r="F15">
        <v>0</v>
      </c>
      <c r="G15">
        <v>0.3</v>
      </c>
      <c r="H15">
        <v>11</v>
      </c>
      <c r="I15">
        <v>11</v>
      </c>
      <c r="J15" s="1">
        <v>1</v>
      </c>
      <c r="K15" s="21">
        <f t="shared" si="0"/>
        <v>0</v>
      </c>
      <c r="N15" s="21"/>
    </row>
    <row r="16" spans="1:15" x14ac:dyDescent="0.3">
      <c r="A16">
        <v>100</v>
      </c>
      <c r="B16">
        <v>25</v>
      </c>
      <c r="C16" s="1">
        <v>140</v>
      </c>
      <c r="D16">
        <v>1.1499999999999999</v>
      </c>
      <c r="E16">
        <v>0</v>
      </c>
      <c r="F16">
        <v>0</v>
      </c>
      <c r="G16">
        <v>0.46500000000000002</v>
      </c>
      <c r="H16">
        <v>9</v>
      </c>
      <c r="I16">
        <v>30</v>
      </c>
      <c r="J16" s="1">
        <v>1</v>
      </c>
      <c r="K16" s="21">
        <f t="shared" si="0"/>
        <v>0</v>
      </c>
      <c r="N16" s="21"/>
    </row>
    <row r="17" spans="1:15" x14ac:dyDescent="0.3">
      <c r="A17">
        <v>100</v>
      </c>
      <c r="B17">
        <v>25</v>
      </c>
      <c r="C17" s="1">
        <v>150</v>
      </c>
      <c r="D17">
        <v>1.1499999999999999</v>
      </c>
      <c r="E17">
        <v>0</v>
      </c>
      <c r="F17">
        <v>0</v>
      </c>
      <c r="G17">
        <v>1.4039999999999999</v>
      </c>
      <c r="H17">
        <v>12</v>
      </c>
      <c r="I17">
        <v>116</v>
      </c>
      <c r="J17" s="1">
        <v>1</v>
      </c>
      <c r="K17" s="21">
        <f t="shared" si="0"/>
        <v>0</v>
      </c>
      <c r="N17" s="21"/>
    </row>
    <row r="18" spans="1:15" x14ac:dyDescent="0.3">
      <c r="A18">
        <v>100</v>
      </c>
      <c r="B18">
        <v>25</v>
      </c>
      <c r="C18" s="1">
        <v>160</v>
      </c>
      <c r="D18">
        <v>1.1499999999999999</v>
      </c>
      <c r="E18">
        <v>0</v>
      </c>
      <c r="F18">
        <v>0</v>
      </c>
      <c r="G18">
        <v>0.98699999999999999</v>
      </c>
      <c r="H18">
        <v>11</v>
      </c>
      <c r="I18">
        <v>63</v>
      </c>
      <c r="J18" s="1">
        <v>1</v>
      </c>
      <c r="K18" s="21">
        <f t="shared" si="0"/>
        <v>0</v>
      </c>
      <c r="N18" s="21"/>
    </row>
    <row r="19" spans="1:15" x14ac:dyDescent="0.3">
      <c r="A19">
        <v>100</v>
      </c>
      <c r="B19">
        <v>25</v>
      </c>
      <c r="C19" s="1">
        <v>170</v>
      </c>
      <c r="D19">
        <v>1.1499999999999999</v>
      </c>
      <c r="E19">
        <v>0</v>
      </c>
      <c r="F19">
        <v>0</v>
      </c>
      <c r="G19">
        <v>0.60399999999999998</v>
      </c>
      <c r="H19">
        <v>12</v>
      </c>
      <c r="I19">
        <v>20</v>
      </c>
      <c r="J19" s="1">
        <v>1</v>
      </c>
      <c r="K19" s="21">
        <f t="shared" si="0"/>
        <v>0</v>
      </c>
      <c r="N19" s="21"/>
    </row>
    <row r="20" spans="1:15" x14ac:dyDescent="0.3">
      <c r="A20">
        <v>100</v>
      </c>
      <c r="B20">
        <v>25</v>
      </c>
      <c r="C20" s="1">
        <v>180</v>
      </c>
      <c r="D20">
        <v>1.1499999999999999</v>
      </c>
      <c r="E20">
        <v>0</v>
      </c>
      <c r="F20">
        <v>0</v>
      </c>
      <c r="G20">
        <v>0.55000000000000004</v>
      </c>
      <c r="H20">
        <v>11</v>
      </c>
      <c r="I20">
        <v>15</v>
      </c>
      <c r="J20" s="1">
        <v>1</v>
      </c>
      <c r="K20" s="21">
        <f t="shared" si="0"/>
        <v>0</v>
      </c>
      <c r="N20" s="21"/>
    </row>
    <row r="21" spans="1:15" x14ac:dyDescent="0.3">
      <c r="A21">
        <v>100</v>
      </c>
      <c r="B21">
        <v>25</v>
      </c>
      <c r="C21" s="1">
        <v>190</v>
      </c>
      <c r="D21">
        <v>1.1499999999999999</v>
      </c>
      <c r="E21">
        <v>0</v>
      </c>
      <c r="F21">
        <v>0</v>
      </c>
      <c r="G21">
        <v>0.28999999999999998</v>
      </c>
      <c r="H21">
        <v>11</v>
      </c>
      <c r="I21">
        <v>11</v>
      </c>
      <c r="J21" s="1">
        <v>1</v>
      </c>
      <c r="K21" s="21">
        <f t="shared" si="0"/>
        <v>0</v>
      </c>
      <c r="N21" s="21"/>
    </row>
    <row r="22" spans="1:15" s="2" customFormat="1" x14ac:dyDescent="0.3">
      <c r="A22" s="2">
        <v>100</v>
      </c>
      <c r="B22" s="2">
        <v>25</v>
      </c>
      <c r="C22" s="3">
        <v>200</v>
      </c>
      <c r="D22" s="2">
        <v>1.1499999999999999</v>
      </c>
      <c r="E22" s="2">
        <v>0</v>
      </c>
      <c r="F22" s="2">
        <v>0</v>
      </c>
      <c r="G22" s="2">
        <v>0.28299999999999997</v>
      </c>
      <c r="H22" s="2">
        <v>11</v>
      </c>
      <c r="I22" s="2">
        <v>11</v>
      </c>
      <c r="J22" s="3">
        <v>1</v>
      </c>
      <c r="K22" s="22">
        <f t="shared" si="0"/>
        <v>0</v>
      </c>
      <c r="L22" s="5">
        <f>AVERAGE(G13:G22)</f>
        <v>0.73960000000000004</v>
      </c>
      <c r="M22" s="22">
        <f t="shared" ref="M22" si="1">1-COUNTBLANK(E13:E22)/10</f>
        <v>1</v>
      </c>
      <c r="N22" s="22">
        <f>AVERAGE(K13:K22)</f>
        <v>0</v>
      </c>
      <c r="O22" s="2" cm="1">
        <f t="array" ref="O22">SUMPRODUCT(E13:E22-F13:F22)/10</f>
        <v>0</v>
      </c>
    </row>
    <row r="23" spans="1:15" x14ac:dyDescent="0.3">
      <c r="A23">
        <v>200</v>
      </c>
      <c r="B23">
        <v>20</v>
      </c>
      <c r="C23" s="1">
        <v>110</v>
      </c>
      <c r="D23">
        <v>1.1499999999999999</v>
      </c>
      <c r="E23">
        <v>6</v>
      </c>
      <c r="F23">
        <v>6</v>
      </c>
      <c r="G23">
        <v>270.339</v>
      </c>
      <c r="H23">
        <v>0</v>
      </c>
      <c r="I23">
        <v>10</v>
      </c>
      <c r="J23" s="1">
        <v>4</v>
      </c>
      <c r="K23" s="21">
        <f t="shared" si="0"/>
        <v>0</v>
      </c>
      <c r="N23" s="21"/>
    </row>
    <row r="24" spans="1:15" x14ac:dyDescent="0.3">
      <c r="A24">
        <v>200</v>
      </c>
      <c r="B24">
        <v>20</v>
      </c>
      <c r="C24" s="1">
        <v>120</v>
      </c>
      <c r="D24">
        <v>1.1499999999999999</v>
      </c>
      <c r="E24">
        <v>6</v>
      </c>
      <c r="F24">
        <v>6</v>
      </c>
      <c r="G24">
        <v>169.108</v>
      </c>
      <c r="H24">
        <v>0</v>
      </c>
      <c r="I24">
        <v>6</v>
      </c>
      <c r="J24" s="1">
        <v>3</v>
      </c>
      <c r="K24" s="21">
        <f t="shared" si="0"/>
        <v>0</v>
      </c>
      <c r="N24" s="21"/>
    </row>
    <row r="25" spans="1:15" x14ac:dyDescent="0.3">
      <c r="A25">
        <v>200</v>
      </c>
      <c r="B25">
        <v>20</v>
      </c>
      <c r="C25" s="1">
        <v>130</v>
      </c>
      <c r="D25">
        <v>1.1499999999999999</v>
      </c>
      <c r="E25">
        <v>6</v>
      </c>
      <c r="F25">
        <v>6</v>
      </c>
      <c r="G25">
        <v>346.85700000000003</v>
      </c>
      <c r="H25">
        <v>0</v>
      </c>
      <c r="I25">
        <v>13</v>
      </c>
      <c r="J25" s="1">
        <v>3</v>
      </c>
      <c r="K25" s="21">
        <f t="shared" si="0"/>
        <v>0</v>
      </c>
      <c r="N25" s="21"/>
    </row>
    <row r="26" spans="1:15" x14ac:dyDescent="0.3">
      <c r="A26">
        <v>200</v>
      </c>
      <c r="B26">
        <v>20</v>
      </c>
      <c r="C26" s="1">
        <v>140</v>
      </c>
      <c r="D26">
        <v>1.1499999999999999</v>
      </c>
      <c r="E26">
        <v>6</v>
      </c>
      <c r="F26">
        <v>6</v>
      </c>
      <c r="G26">
        <v>126.099</v>
      </c>
      <c r="H26">
        <v>0</v>
      </c>
      <c r="I26">
        <v>10</v>
      </c>
      <c r="J26" s="1">
        <v>7</v>
      </c>
      <c r="K26" s="21">
        <f t="shared" si="0"/>
        <v>0</v>
      </c>
      <c r="N26" s="21"/>
    </row>
    <row r="27" spans="1:15" x14ac:dyDescent="0.3">
      <c r="A27">
        <v>200</v>
      </c>
      <c r="B27">
        <v>20</v>
      </c>
      <c r="C27" s="1">
        <v>150</v>
      </c>
      <c r="D27">
        <v>1.1499999999999999</v>
      </c>
      <c r="E27">
        <v>7</v>
      </c>
      <c r="F27">
        <v>6</v>
      </c>
      <c r="G27">
        <v>3600</v>
      </c>
      <c r="H27">
        <v>0</v>
      </c>
      <c r="I27">
        <v>49</v>
      </c>
      <c r="J27" s="1">
        <v>11</v>
      </c>
      <c r="K27" s="21">
        <f t="shared" si="0"/>
        <v>0.14285714285714285</v>
      </c>
      <c r="N27" s="21"/>
    </row>
    <row r="28" spans="1:15" x14ac:dyDescent="0.3">
      <c r="A28">
        <v>200</v>
      </c>
      <c r="B28">
        <v>20</v>
      </c>
      <c r="C28" s="1">
        <v>160</v>
      </c>
      <c r="D28">
        <v>1.1499999999999999</v>
      </c>
      <c r="E28">
        <v>7</v>
      </c>
      <c r="F28">
        <v>6</v>
      </c>
      <c r="G28">
        <v>3600</v>
      </c>
      <c r="H28">
        <v>0</v>
      </c>
      <c r="I28">
        <v>87</v>
      </c>
      <c r="J28" s="1">
        <v>20</v>
      </c>
      <c r="K28" s="21">
        <f t="shared" si="0"/>
        <v>0.14285714285714285</v>
      </c>
      <c r="N28" s="21"/>
    </row>
    <row r="29" spans="1:15" x14ac:dyDescent="0.3">
      <c r="A29">
        <v>200</v>
      </c>
      <c r="B29">
        <v>20</v>
      </c>
      <c r="C29" s="1">
        <v>170</v>
      </c>
      <c r="D29">
        <v>1.1499999999999999</v>
      </c>
      <c r="E29">
        <v>6</v>
      </c>
      <c r="F29">
        <v>6</v>
      </c>
      <c r="G29">
        <v>241.102</v>
      </c>
      <c r="H29">
        <v>0</v>
      </c>
      <c r="I29">
        <v>18</v>
      </c>
      <c r="J29" s="1">
        <v>4</v>
      </c>
      <c r="K29" s="21">
        <f t="shared" si="0"/>
        <v>0</v>
      </c>
      <c r="N29" s="21"/>
    </row>
    <row r="30" spans="1:15" x14ac:dyDescent="0.3">
      <c r="A30">
        <v>200</v>
      </c>
      <c r="B30">
        <v>20</v>
      </c>
      <c r="C30" s="1">
        <v>180</v>
      </c>
      <c r="D30">
        <v>1.1499999999999999</v>
      </c>
      <c r="E30">
        <v>6</v>
      </c>
      <c r="F30">
        <v>6</v>
      </c>
      <c r="G30">
        <v>235.00700000000001</v>
      </c>
      <c r="H30">
        <v>0</v>
      </c>
      <c r="I30">
        <v>15</v>
      </c>
      <c r="J30" s="1">
        <v>4</v>
      </c>
      <c r="K30" s="21">
        <f t="shared" si="0"/>
        <v>0</v>
      </c>
      <c r="N30" s="21"/>
    </row>
    <row r="31" spans="1:15" x14ac:dyDescent="0.3">
      <c r="A31">
        <v>200</v>
      </c>
      <c r="B31">
        <v>20</v>
      </c>
      <c r="C31" s="1">
        <v>190</v>
      </c>
      <c r="D31">
        <v>1.1499999999999999</v>
      </c>
      <c r="E31">
        <v>6</v>
      </c>
      <c r="F31">
        <v>6</v>
      </c>
      <c r="G31">
        <v>553.101</v>
      </c>
      <c r="H31">
        <v>0</v>
      </c>
      <c r="I31">
        <v>29</v>
      </c>
      <c r="J31" s="1">
        <v>7</v>
      </c>
      <c r="K31" s="21">
        <f t="shared" si="0"/>
        <v>0</v>
      </c>
      <c r="N31" s="21"/>
    </row>
    <row r="32" spans="1:15" s="2" customFormat="1" x14ac:dyDescent="0.3">
      <c r="A32" s="2">
        <v>200</v>
      </c>
      <c r="B32" s="2">
        <v>20</v>
      </c>
      <c r="C32" s="3">
        <v>200</v>
      </c>
      <c r="D32" s="2">
        <v>1.1499999999999999</v>
      </c>
      <c r="E32" s="2">
        <v>7</v>
      </c>
      <c r="F32" s="2">
        <v>6</v>
      </c>
      <c r="G32" s="2">
        <v>3600</v>
      </c>
      <c r="H32" s="2">
        <v>0</v>
      </c>
      <c r="I32" s="2">
        <v>60</v>
      </c>
      <c r="J32" s="3">
        <v>17</v>
      </c>
      <c r="K32" s="22">
        <f t="shared" si="0"/>
        <v>0.14285714285714285</v>
      </c>
      <c r="L32" s="5">
        <f>AVERAGE(G23:G32)</f>
        <v>1274.1613000000002</v>
      </c>
      <c r="M32" s="22">
        <f t="shared" ref="M32" si="2">1-COUNTBLANK(E23:E32)/10</f>
        <v>1</v>
      </c>
      <c r="N32" s="22">
        <f>AVERAGE(K23:K32)</f>
        <v>4.2857142857142858E-2</v>
      </c>
      <c r="O32" s="2" cm="1">
        <f t="array" ref="O32">SUMPRODUCT(E23:E32-F23:F32)/10</f>
        <v>0.3</v>
      </c>
    </row>
    <row r="33" spans="1:15" x14ac:dyDescent="0.3">
      <c r="A33">
        <v>200</v>
      </c>
      <c r="B33">
        <v>25</v>
      </c>
      <c r="C33" s="1">
        <v>110</v>
      </c>
      <c r="D33">
        <v>1.1499999999999999</v>
      </c>
      <c r="E33">
        <v>2</v>
      </c>
      <c r="F33">
        <v>1</v>
      </c>
      <c r="G33">
        <v>3600</v>
      </c>
      <c r="H33">
        <v>0</v>
      </c>
      <c r="I33">
        <v>15</v>
      </c>
      <c r="J33" s="1">
        <v>6</v>
      </c>
      <c r="K33" s="21">
        <f t="shared" si="0"/>
        <v>0.5</v>
      </c>
      <c r="N33" s="21"/>
    </row>
    <row r="34" spans="1:15" x14ac:dyDescent="0.3">
      <c r="A34">
        <v>200</v>
      </c>
      <c r="B34">
        <v>25</v>
      </c>
      <c r="C34" s="1">
        <v>120</v>
      </c>
      <c r="D34">
        <v>1.1499999999999999</v>
      </c>
      <c r="E34">
        <v>1</v>
      </c>
      <c r="F34">
        <v>1</v>
      </c>
      <c r="G34">
        <v>0.47199999999999998</v>
      </c>
      <c r="H34">
        <v>0</v>
      </c>
      <c r="I34">
        <v>0</v>
      </c>
      <c r="J34" s="1">
        <v>1</v>
      </c>
      <c r="K34" s="21">
        <f t="shared" si="0"/>
        <v>0</v>
      </c>
      <c r="N34" s="21"/>
    </row>
    <row r="35" spans="1:15" x14ac:dyDescent="0.3">
      <c r="A35">
        <v>200</v>
      </c>
      <c r="B35">
        <v>25</v>
      </c>
      <c r="C35" s="1">
        <v>130</v>
      </c>
      <c r="D35">
        <v>1.1499999999999999</v>
      </c>
      <c r="E35">
        <v>1</v>
      </c>
      <c r="F35">
        <v>1</v>
      </c>
      <c r="G35">
        <v>39.222999999999999</v>
      </c>
      <c r="H35">
        <v>0</v>
      </c>
      <c r="I35">
        <v>1</v>
      </c>
      <c r="J35" s="1">
        <v>2</v>
      </c>
      <c r="K35" s="21">
        <f t="shared" si="0"/>
        <v>0</v>
      </c>
      <c r="N35" s="21"/>
    </row>
    <row r="36" spans="1:15" x14ac:dyDescent="0.3">
      <c r="A36">
        <v>200</v>
      </c>
      <c r="B36">
        <v>25</v>
      </c>
      <c r="C36" s="1">
        <v>140</v>
      </c>
      <c r="D36">
        <v>1.1499999999999999</v>
      </c>
      <c r="E36">
        <v>1</v>
      </c>
      <c r="F36">
        <v>1</v>
      </c>
      <c r="G36">
        <v>134.21299999999999</v>
      </c>
      <c r="H36">
        <v>0</v>
      </c>
      <c r="I36">
        <v>13</v>
      </c>
      <c r="J36" s="1">
        <v>3</v>
      </c>
      <c r="K36" s="21">
        <f t="shared" si="0"/>
        <v>0</v>
      </c>
      <c r="N36" s="21"/>
    </row>
    <row r="37" spans="1:15" x14ac:dyDescent="0.3">
      <c r="A37">
        <v>200</v>
      </c>
      <c r="B37">
        <v>25</v>
      </c>
      <c r="C37" s="1">
        <v>150</v>
      </c>
      <c r="D37">
        <v>1.1499999999999999</v>
      </c>
      <c r="E37">
        <v>2</v>
      </c>
      <c r="F37">
        <v>2</v>
      </c>
      <c r="G37">
        <v>2.6960000000000002</v>
      </c>
      <c r="H37">
        <v>0</v>
      </c>
      <c r="I37">
        <v>10</v>
      </c>
      <c r="J37" s="1">
        <v>1</v>
      </c>
      <c r="K37" s="21">
        <f t="shared" si="0"/>
        <v>0</v>
      </c>
      <c r="N37" s="21"/>
    </row>
    <row r="38" spans="1:15" x14ac:dyDescent="0.3">
      <c r="A38">
        <v>200</v>
      </c>
      <c r="B38">
        <v>25</v>
      </c>
      <c r="C38" s="1">
        <v>160</v>
      </c>
      <c r="D38">
        <v>1.1499999999999999</v>
      </c>
      <c r="E38">
        <v>2</v>
      </c>
      <c r="F38">
        <v>2</v>
      </c>
      <c r="G38">
        <v>2.3679999999999999</v>
      </c>
      <c r="H38">
        <v>0</v>
      </c>
      <c r="I38">
        <v>0</v>
      </c>
      <c r="J38" s="1">
        <v>1</v>
      </c>
      <c r="K38" s="21">
        <f t="shared" si="0"/>
        <v>0</v>
      </c>
      <c r="N38" s="21"/>
    </row>
    <row r="39" spans="1:15" x14ac:dyDescent="0.3">
      <c r="A39">
        <v>200</v>
      </c>
      <c r="B39">
        <v>25</v>
      </c>
      <c r="C39" s="1">
        <v>170</v>
      </c>
      <c r="D39">
        <v>1.1499999999999999</v>
      </c>
      <c r="E39">
        <v>2</v>
      </c>
      <c r="F39">
        <v>2</v>
      </c>
      <c r="G39">
        <v>0.45400000000000001</v>
      </c>
      <c r="H39">
        <v>1</v>
      </c>
      <c r="I39">
        <v>1</v>
      </c>
      <c r="J39" s="1">
        <v>1</v>
      </c>
      <c r="K39" s="21">
        <f t="shared" si="0"/>
        <v>0</v>
      </c>
      <c r="N39" s="21"/>
    </row>
    <row r="40" spans="1:15" x14ac:dyDescent="0.3">
      <c r="A40">
        <v>200</v>
      </c>
      <c r="B40">
        <v>25</v>
      </c>
      <c r="C40" s="1">
        <v>180</v>
      </c>
      <c r="D40">
        <v>1.1499999999999999</v>
      </c>
      <c r="E40">
        <v>2</v>
      </c>
      <c r="F40">
        <v>1</v>
      </c>
      <c r="G40">
        <v>3600</v>
      </c>
      <c r="H40">
        <v>0</v>
      </c>
      <c r="I40">
        <v>19</v>
      </c>
      <c r="J40" s="1">
        <v>3</v>
      </c>
      <c r="K40" s="21">
        <f t="shared" si="0"/>
        <v>0.5</v>
      </c>
      <c r="N40" s="21"/>
    </row>
    <row r="41" spans="1:15" x14ac:dyDescent="0.3">
      <c r="A41">
        <v>200</v>
      </c>
      <c r="B41">
        <v>25</v>
      </c>
      <c r="C41" s="1">
        <v>190</v>
      </c>
      <c r="D41">
        <v>1.1499999999999999</v>
      </c>
      <c r="E41">
        <v>2</v>
      </c>
      <c r="F41">
        <v>2</v>
      </c>
      <c r="G41">
        <v>5.306</v>
      </c>
      <c r="H41">
        <v>0</v>
      </c>
      <c r="I41">
        <v>1</v>
      </c>
      <c r="J41" s="1">
        <v>1</v>
      </c>
      <c r="K41" s="21">
        <f t="shared" si="0"/>
        <v>0</v>
      </c>
      <c r="N41" s="21"/>
    </row>
    <row r="42" spans="1:15" s="2" customFormat="1" x14ac:dyDescent="0.3">
      <c r="A42" s="2">
        <v>200</v>
      </c>
      <c r="B42" s="2">
        <v>25</v>
      </c>
      <c r="C42" s="3">
        <v>200</v>
      </c>
      <c r="D42" s="2">
        <v>1.1499999999999999</v>
      </c>
      <c r="E42" s="2">
        <v>2</v>
      </c>
      <c r="F42" s="2">
        <v>1</v>
      </c>
      <c r="G42" s="2">
        <v>3600</v>
      </c>
      <c r="H42" s="2">
        <v>0</v>
      </c>
      <c r="I42" s="2">
        <v>2</v>
      </c>
      <c r="J42" s="3">
        <v>3</v>
      </c>
      <c r="K42" s="22">
        <f t="shared" si="0"/>
        <v>0.5</v>
      </c>
      <c r="L42" s="5">
        <f>AVERAGE(G33:G42)</f>
        <v>1098.4731999999999</v>
      </c>
      <c r="M42" s="22">
        <f t="shared" ref="M42" si="3">1-COUNTBLANK(E33:E42)/10</f>
        <v>1</v>
      </c>
      <c r="N42" s="22">
        <f>AVERAGE(K33:K42)</f>
        <v>0.15</v>
      </c>
      <c r="O42" s="2" cm="1">
        <f t="array" ref="O42">SUMPRODUCT(E33:E42-F33:F42)/10</f>
        <v>0.3</v>
      </c>
    </row>
    <row r="43" spans="1:15" s="7" customFormat="1" x14ac:dyDescent="0.3">
      <c r="A43"/>
      <c r="B43"/>
      <c r="C43" s="1"/>
      <c r="D43"/>
      <c r="E43"/>
      <c r="F43"/>
      <c r="G43"/>
      <c r="H43"/>
      <c r="I43"/>
      <c r="J43" s="1"/>
      <c r="K43" t="str">
        <f t="shared" ref="K43:K82" si="4">IF(ISBLANK(E43),IF(ISBLANK(F43),"",100), IF(E43+F43=0, 0, IF(G43=3600, IF(E43=F43,1,(E43-F43)/E43*100), 0)))</f>
        <v/>
      </c>
      <c r="L43" s="4"/>
      <c r="M43" s="21"/>
    </row>
    <row r="44" spans="1:15" s="7" customFormat="1" x14ac:dyDescent="0.3">
      <c r="A44"/>
      <c r="B44"/>
      <c r="C44" s="1"/>
      <c r="D44"/>
      <c r="E44"/>
      <c r="F44"/>
      <c r="G44"/>
      <c r="H44"/>
      <c r="I44"/>
      <c r="J44" s="1"/>
      <c r="K44" t="str">
        <f t="shared" si="4"/>
        <v/>
      </c>
      <c r="L44" s="4"/>
      <c r="M44" s="21"/>
    </row>
    <row r="45" spans="1:15" s="7" customFormat="1" x14ac:dyDescent="0.3">
      <c r="A45"/>
      <c r="B45"/>
      <c r="C45" s="1"/>
      <c r="D45"/>
      <c r="E45"/>
      <c r="F45"/>
      <c r="G45"/>
      <c r="H45"/>
      <c r="I45"/>
      <c r="J45" s="1"/>
      <c r="K45" t="str">
        <f t="shared" si="4"/>
        <v/>
      </c>
      <c r="L45" s="4"/>
      <c r="M45" s="21"/>
    </row>
    <row r="46" spans="1:15" s="7" customFormat="1" x14ac:dyDescent="0.3">
      <c r="A46"/>
      <c r="B46"/>
      <c r="C46" s="1"/>
      <c r="D46"/>
      <c r="E46"/>
      <c r="F46"/>
      <c r="G46"/>
      <c r="H46"/>
      <c r="I46"/>
      <c r="J46" s="1"/>
      <c r="K46" t="str">
        <f t="shared" si="4"/>
        <v/>
      </c>
      <c r="L46" s="4"/>
      <c r="M46" s="21"/>
    </row>
    <row r="47" spans="1:15" s="7" customFormat="1" x14ac:dyDescent="0.3">
      <c r="A47"/>
      <c r="B47"/>
      <c r="C47" s="1"/>
      <c r="D47"/>
      <c r="E47"/>
      <c r="F47"/>
      <c r="G47"/>
      <c r="H47"/>
      <c r="I47"/>
      <c r="J47" s="1"/>
      <c r="K47" t="str">
        <f t="shared" si="4"/>
        <v/>
      </c>
      <c r="L47" s="4"/>
      <c r="M47" s="21"/>
    </row>
    <row r="48" spans="1:15" s="7" customFormat="1" x14ac:dyDescent="0.3">
      <c r="A48"/>
      <c r="B48"/>
      <c r="C48" s="1"/>
      <c r="D48"/>
      <c r="E48"/>
      <c r="F48"/>
      <c r="G48"/>
      <c r="H48"/>
      <c r="I48"/>
      <c r="J48" s="1"/>
      <c r="K48" t="str">
        <f t="shared" si="4"/>
        <v/>
      </c>
      <c r="L48" s="4"/>
      <c r="M48" s="21"/>
    </row>
    <row r="49" spans="1:13" s="7" customFormat="1" x14ac:dyDescent="0.3">
      <c r="A49"/>
      <c r="B49"/>
      <c r="C49" s="1"/>
      <c r="D49"/>
      <c r="E49"/>
      <c r="F49"/>
      <c r="G49"/>
      <c r="H49"/>
      <c r="I49"/>
      <c r="J49" s="1"/>
      <c r="K49" t="str">
        <f t="shared" si="4"/>
        <v/>
      </c>
      <c r="L49" s="4"/>
      <c r="M49" s="21"/>
    </row>
    <row r="50" spans="1:13" s="7" customFormat="1" x14ac:dyDescent="0.3">
      <c r="A50"/>
      <c r="B50"/>
      <c r="C50" s="1"/>
      <c r="D50"/>
      <c r="E50"/>
      <c r="F50"/>
      <c r="G50"/>
      <c r="H50"/>
      <c r="I50"/>
      <c r="J50" s="1"/>
      <c r="K50" t="str">
        <f t="shared" si="4"/>
        <v/>
      </c>
      <c r="L50" s="4"/>
      <c r="M50" s="21"/>
    </row>
    <row r="51" spans="1:13" s="7" customFormat="1" x14ac:dyDescent="0.3">
      <c r="A51"/>
      <c r="B51"/>
      <c r="C51" s="1"/>
      <c r="D51"/>
      <c r="E51"/>
      <c r="F51"/>
      <c r="G51"/>
      <c r="H51"/>
      <c r="I51"/>
      <c r="J51" s="1"/>
      <c r="K51" t="str">
        <f t="shared" si="4"/>
        <v/>
      </c>
      <c r="L51" s="4"/>
      <c r="M51" s="21"/>
    </row>
    <row r="52" spans="1:13" s="2" customFormat="1" x14ac:dyDescent="0.3">
      <c r="C52" s="3"/>
      <c r="J52" s="3"/>
      <c r="K52" s="2" t="str">
        <f t="shared" si="4"/>
        <v/>
      </c>
      <c r="L52" s="5" t="e">
        <f>AVERAGE(G43:G52)</f>
        <v>#DIV/0!</v>
      </c>
      <c r="M52" s="22"/>
    </row>
    <row r="53" spans="1:13" s="7" customFormat="1" x14ac:dyDescent="0.3">
      <c r="A53"/>
      <c r="B53"/>
      <c r="C53" s="1"/>
      <c r="D53"/>
      <c r="E53"/>
      <c r="F53"/>
      <c r="G53"/>
      <c r="H53"/>
      <c r="I53"/>
      <c r="J53" s="1"/>
      <c r="K53" t="str">
        <f t="shared" si="4"/>
        <v/>
      </c>
      <c r="L53" s="4"/>
      <c r="M53" s="21"/>
    </row>
    <row r="54" spans="1:13" s="7" customFormat="1" x14ac:dyDescent="0.3">
      <c r="A54"/>
      <c r="B54"/>
      <c r="C54" s="1"/>
      <c r="D54"/>
      <c r="E54"/>
      <c r="F54"/>
      <c r="G54"/>
      <c r="H54"/>
      <c r="I54"/>
      <c r="J54" s="1"/>
      <c r="K54" t="str">
        <f t="shared" si="4"/>
        <v/>
      </c>
      <c r="L54" s="4"/>
      <c r="M54" s="21"/>
    </row>
    <row r="55" spans="1:13" s="7" customFormat="1" x14ac:dyDescent="0.3">
      <c r="A55"/>
      <c r="B55"/>
      <c r="C55" s="1"/>
      <c r="D55"/>
      <c r="E55"/>
      <c r="F55"/>
      <c r="G55"/>
      <c r="H55"/>
      <c r="I55"/>
      <c r="J55" s="1"/>
      <c r="K55" t="str">
        <f t="shared" si="4"/>
        <v/>
      </c>
      <c r="L55" s="4"/>
      <c r="M55" s="21"/>
    </row>
    <row r="56" spans="1:13" s="7" customFormat="1" x14ac:dyDescent="0.3">
      <c r="A56"/>
      <c r="B56"/>
      <c r="C56" s="1"/>
      <c r="D56"/>
      <c r="E56"/>
      <c r="F56"/>
      <c r="G56"/>
      <c r="H56"/>
      <c r="I56"/>
      <c r="J56" s="1"/>
      <c r="K56" t="str">
        <f t="shared" si="4"/>
        <v/>
      </c>
      <c r="L56" s="4"/>
      <c r="M56" s="21"/>
    </row>
    <row r="57" spans="1:13" s="7" customFormat="1" x14ac:dyDescent="0.3">
      <c r="A57"/>
      <c r="B57"/>
      <c r="C57" s="1"/>
      <c r="D57"/>
      <c r="E57"/>
      <c r="F57"/>
      <c r="G57"/>
      <c r="H57"/>
      <c r="I57"/>
      <c r="J57" s="1"/>
      <c r="K57" t="str">
        <f t="shared" si="4"/>
        <v/>
      </c>
      <c r="L57" s="4"/>
      <c r="M57" s="21"/>
    </row>
    <row r="58" spans="1:13" s="7" customFormat="1" x14ac:dyDescent="0.3">
      <c r="A58"/>
      <c r="B58"/>
      <c r="C58" s="1"/>
      <c r="D58"/>
      <c r="E58"/>
      <c r="F58"/>
      <c r="G58"/>
      <c r="H58"/>
      <c r="I58"/>
      <c r="J58" s="1"/>
      <c r="K58" t="str">
        <f t="shared" si="4"/>
        <v/>
      </c>
      <c r="L58" s="4"/>
      <c r="M58" s="21"/>
    </row>
    <row r="59" spans="1:13" s="7" customFormat="1" x14ac:dyDescent="0.3">
      <c r="A59"/>
      <c r="B59"/>
      <c r="C59" s="1"/>
      <c r="D59"/>
      <c r="E59"/>
      <c r="F59"/>
      <c r="G59"/>
      <c r="H59"/>
      <c r="I59"/>
      <c r="J59" s="1"/>
      <c r="K59" t="str">
        <f t="shared" si="4"/>
        <v/>
      </c>
      <c r="L59" s="4"/>
      <c r="M59" s="21"/>
    </row>
    <row r="60" spans="1:13" s="7" customFormat="1" x14ac:dyDescent="0.3">
      <c r="A60"/>
      <c r="B60"/>
      <c r="C60" s="1"/>
      <c r="D60"/>
      <c r="E60"/>
      <c r="F60"/>
      <c r="G60"/>
      <c r="H60"/>
      <c r="I60"/>
      <c r="J60" s="1"/>
      <c r="K60" t="str">
        <f t="shared" si="4"/>
        <v/>
      </c>
      <c r="L60" s="4"/>
      <c r="M60" s="21"/>
    </row>
    <row r="61" spans="1:13" s="7" customFormat="1" x14ac:dyDescent="0.3">
      <c r="A61"/>
      <c r="B61"/>
      <c r="C61" s="1"/>
      <c r="D61"/>
      <c r="E61"/>
      <c r="F61"/>
      <c r="G61"/>
      <c r="H61"/>
      <c r="I61"/>
      <c r="J61" s="1"/>
      <c r="K61" t="str">
        <f t="shared" si="4"/>
        <v/>
      </c>
      <c r="L61" s="4"/>
      <c r="M61" s="21"/>
    </row>
    <row r="62" spans="1:13" s="2" customFormat="1" x14ac:dyDescent="0.3">
      <c r="C62" s="3"/>
      <c r="J62" s="3"/>
      <c r="K62" s="2" t="str">
        <f t="shared" si="4"/>
        <v/>
      </c>
      <c r="L62" s="5" t="e">
        <f>AVERAGE(G53:G62)</f>
        <v>#DIV/0!</v>
      </c>
      <c r="M62" s="22"/>
    </row>
    <row r="63" spans="1:13" s="7" customFormat="1" x14ac:dyDescent="0.3">
      <c r="A63"/>
      <c r="B63"/>
      <c r="C63" s="1"/>
      <c r="D63"/>
      <c r="E63"/>
      <c r="F63"/>
      <c r="G63"/>
      <c r="H63"/>
      <c r="I63"/>
      <c r="J63" s="1"/>
      <c r="K63" t="str">
        <f t="shared" si="4"/>
        <v/>
      </c>
      <c r="L63" s="4"/>
      <c r="M63" s="21"/>
    </row>
    <row r="64" spans="1:13" s="7" customFormat="1" x14ac:dyDescent="0.3">
      <c r="A64"/>
      <c r="B64"/>
      <c r="C64" s="1"/>
      <c r="D64"/>
      <c r="E64"/>
      <c r="F64"/>
      <c r="G64"/>
      <c r="H64"/>
      <c r="I64"/>
      <c r="J64" s="1"/>
      <c r="K64" t="str">
        <f t="shared" si="4"/>
        <v/>
      </c>
      <c r="L64" s="4"/>
      <c r="M64" s="21"/>
    </row>
    <row r="65" spans="1:13" s="7" customFormat="1" x14ac:dyDescent="0.3">
      <c r="A65"/>
      <c r="B65"/>
      <c r="C65" s="1"/>
      <c r="D65"/>
      <c r="E65"/>
      <c r="F65"/>
      <c r="G65"/>
      <c r="H65"/>
      <c r="I65"/>
      <c r="J65" s="1"/>
      <c r="K65" t="str">
        <f t="shared" si="4"/>
        <v/>
      </c>
      <c r="L65" s="4"/>
      <c r="M65" s="21"/>
    </row>
    <row r="66" spans="1:13" s="7" customFormat="1" x14ac:dyDescent="0.3">
      <c r="A66"/>
      <c r="B66"/>
      <c r="C66" s="1"/>
      <c r="D66"/>
      <c r="E66"/>
      <c r="F66"/>
      <c r="G66"/>
      <c r="H66"/>
      <c r="I66"/>
      <c r="J66" s="1"/>
      <c r="K66" t="str">
        <f t="shared" si="4"/>
        <v/>
      </c>
      <c r="L66" s="4"/>
      <c r="M66" s="21"/>
    </row>
    <row r="67" spans="1:13" s="7" customFormat="1" x14ac:dyDescent="0.3">
      <c r="A67"/>
      <c r="B67"/>
      <c r="C67" s="1"/>
      <c r="D67"/>
      <c r="E67"/>
      <c r="F67"/>
      <c r="G67"/>
      <c r="H67"/>
      <c r="I67"/>
      <c r="J67" s="1"/>
      <c r="K67" t="str">
        <f t="shared" si="4"/>
        <v/>
      </c>
      <c r="L67" s="4"/>
      <c r="M67" s="21"/>
    </row>
    <row r="68" spans="1:13" s="7" customFormat="1" x14ac:dyDescent="0.3">
      <c r="A68"/>
      <c r="B68"/>
      <c r="C68" s="1"/>
      <c r="D68"/>
      <c r="E68"/>
      <c r="F68"/>
      <c r="G68"/>
      <c r="H68"/>
      <c r="I68"/>
      <c r="J68" s="1"/>
      <c r="K68" t="str">
        <f t="shared" si="4"/>
        <v/>
      </c>
      <c r="L68" s="4"/>
      <c r="M68" s="21"/>
    </row>
    <row r="69" spans="1:13" s="7" customFormat="1" x14ac:dyDescent="0.3">
      <c r="A69"/>
      <c r="B69"/>
      <c r="C69" s="1"/>
      <c r="D69"/>
      <c r="E69"/>
      <c r="F69"/>
      <c r="G69"/>
      <c r="H69"/>
      <c r="I69"/>
      <c r="J69" s="1"/>
      <c r="K69" t="str">
        <f t="shared" si="4"/>
        <v/>
      </c>
      <c r="L69" s="4"/>
      <c r="M69" s="21"/>
    </row>
    <row r="70" spans="1:13" s="7" customFormat="1" x14ac:dyDescent="0.3">
      <c r="A70"/>
      <c r="B70"/>
      <c r="C70" s="1"/>
      <c r="D70"/>
      <c r="E70"/>
      <c r="F70"/>
      <c r="G70"/>
      <c r="H70"/>
      <c r="I70"/>
      <c r="J70" s="1"/>
      <c r="K70" t="str">
        <f t="shared" si="4"/>
        <v/>
      </c>
      <c r="L70" s="4"/>
      <c r="M70" s="21"/>
    </row>
    <row r="71" spans="1:13" s="7" customFormat="1" x14ac:dyDescent="0.3">
      <c r="A71"/>
      <c r="B71"/>
      <c r="C71" s="1"/>
      <c r="D71"/>
      <c r="E71"/>
      <c r="F71"/>
      <c r="G71"/>
      <c r="H71"/>
      <c r="I71"/>
      <c r="J71" s="1"/>
      <c r="K71" t="str">
        <f t="shared" si="4"/>
        <v/>
      </c>
      <c r="L71" s="4"/>
      <c r="M71" s="21"/>
    </row>
    <row r="72" spans="1:13" s="2" customFormat="1" x14ac:dyDescent="0.3">
      <c r="C72" s="3"/>
      <c r="J72" s="3"/>
      <c r="K72" s="2" t="str">
        <f t="shared" si="4"/>
        <v/>
      </c>
      <c r="L72" s="5" t="e">
        <f>AVERAGE(G63:G72)</f>
        <v>#DIV/0!</v>
      </c>
      <c r="M72" s="22"/>
    </row>
    <row r="73" spans="1:13" s="7" customFormat="1" x14ac:dyDescent="0.3">
      <c r="A73"/>
      <c r="B73"/>
      <c r="C73" s="1"/>
      <c r="D73"/>
      <c r="E73"/>
      <c r="F73"/>
      <c r="G73"/>
      <c r="H73"/>
      <c r="I73"/>
      <c r="J73" s="1"/>
      <c r="K73" t="str">
        <f t="shared" si="4"/>
        <v/>
      </c>
      <c r="L73" s="4"/>
      <c r="M73" s="21"/>
    </row>
    <row r="74" spans="1:13" s="7" customFormat="1" x14ac:dyDescent="0.3">
      <c r="A74"/>
      <c r="B74"/>
      <c r="C74" s="1"/>
      <c r="D74"/>
      <c r="E74"/>
      <c r="F74"/>
      <c r="G74"/>
      <c r="H74"/>
      <c r="I74"/>
      <c r="J74" s="1"/>
      <c r="K74" t="str">
        <f t="shared" si="4"/>
        <v/>
      </c>
      <c r="L74" s="4"/>
      <c r="M74" s="21"/>
    </row>
    <row r="75" spans="1:13" s="7" customFormat="1" x14ac:dyDescent="0.3">
      <c r="A75"/>
      <c r="B75"/>
      <c r="C75" s="1"/>
      <c r="D75"/>
      <c r="E75"/>
      <c r="F75"/>
      <c r="G75"/>
      <c r="H75"/>
      <c r="I75"/>
      <c r="J75" s="1"/>
      <c r="K75" t="str">
        <f t="shared" si="4"/>
        <v/>
      </c>
      <c r="L75" s="4"/>
      <c r="M75" s="21"/>
    </row>
    <row r="76" spans="1:13" s="7" customFormat="1" x14ac:dyDescent="0.3">
      <c r="A76"/>
      <c r="B76"/>
      <c r="C76" s="1"/>
      <c r="D76"/>
      <c r="E76"/>
      <c r="F76"/>
      <c r="G76"/>
      <c r="H76"/>
      <c r="I76"/>
      <c r="J76" s="1"/>
      <c r="K76" t="str">
        <f t="shared" si="4"/>
        <v/>
      </c>
      <c r="L76" s="4"/>
      <c r="M76" s="21"/>
    </row>
    <row r="77" spans="1:13" s="7" customFormat="1" x14ac:dyDescent="0.3">
      <c r="A77"/>
      <c r="B77"/>
      <c r="C77" s="1"/>
      <c r="D77"/>
      <c r="E77"/>
      <c r="F77"/>
      <c r="G77"/>
      <c r="H77"/>
      <c r="I77"/>
      <c r="J77" s="1"/>
      <c r="K77" t="str">
        <f t="shared" si="4"/>
        <v/>
      </c>
      <c r="L77" s="4"/>
      <c r="M77" s="21"/>
    </row>
    <row r="78" spans="1:13" s="7" customFormat="1" x14ac:dyDescent="0.3">
      <c r="A78"/>
      <c r="B78"/>
      <c r="C78" s="1"/>
      <c r="D78"/>
      <c r="E78"/>
      <c r="F78"/>
      <c r="G78"/>
      <c r="H78"/>
      <c r="I78"/>
      <c r="J78" s="1"/>
      <c r="K78" t="str">
        <f t="shared" si="4"/>
        <v/>
      </c>
      <c r="L78" s="4"/>
      <c r="M78" s="21"/>
    </row>
    <row r="79" spans="1:13" s="7" customFormat="1" x14ac:dyDescent="0.3">
      <c r="A79"/>
      <c r="B79"/>
      <c r="C79" s="1"/>
      <c r="D79"/>
      <c r="E79"/>
      <c r="F79"/>
      <c r="G79"/>
      <c r="H79"/>
      <c r="I79"/>
      <c r="J79" s="1"/>
      <c r="K79" t="str">
        <f t="shared" si="4"/>
        <v/>
      </c>
      <c r="L79" s="4"/>
      <c r="M79" s="21"/>
    </row>
    <row r="80" spans="1:13" s="7" customFormat="1" x14ac:dyDescent="0.3">
      <c r="A80"/>
      <c r="B80"/>
      <c r="C80" s="1"/>
      <c r="D80"/>
      <c r="E80"/>
      <c r="F80"/>
      <c r="G80"/>
      <c r="H80"/>
      <c r="I80"/>
      <c r="J80" s="1"/>
      <c r="K80" t="str">
        <f t="shared" si="4"/>
        <v/>
      </c>
      <c r="L80" s="4"/>
      <c r="M80" s="21"/>
    </row>
    <row r="81" spans="1:13" s="7" customFormat="1" x14ac:dyDescent="0.3">
      <c r="A81"/>
      <c r="B81"/>
      <c r="C81" s="1"/>
      <c r="D81"/>
      <c r="E81"/>
      <c r="F81"/>
      <c r="G81"/>
      <c r="H81"/>
      <c r="I81"/>
      <c r="J81" s="1"/>
      <c r="K81" t="str">
        <f t="shared" si="4"/>
        <v/>
      </c>
      <c r="L81" s="4"/>
      <c r="M81" s="21"/>
    </row>
    <row r="82" spans="1:13" s="2" customFormat="1" x14ac:dyDescent="0.3">
      <c r="C82" s="3"/>
      <c r="J82" s="3"/>
      <c r="K82" s="2" t="str">
        <f t="shared" si="4"/>
        <v/>
      </c>
      <c r="L82" s="5" t="e">
        <f>AVERAGE(G73:G82)</f>
        <v>#DIV/0!</v>
      </c>
      <c r="M82" s="22"/>
    </row>
    <row r="83" spans="1:13" s="7" customFormat="1" x14ac:dyDescent="0.3">
      <c r="A83"/>
      <c r="B83"/>
      <c r="C83"/>
      <c r="D83">
        <f>AVERAGE(D3:D82)</f>
        <v>1.149999999999999</v>
      </c>
      <c r="E83">
        <f>AVERAGE(E3:E82)</f>
        <v>2.1</v>
      </c>
      <c r="F83">
        <f>AVERAGE(F3:F82)</f>
        <v>1.95</v>
      </c>
      <c r="G83">
        <f>AVERAGE(G3:G82)</f>
        <v>602.69670000000008</v>
      </c>
      <c r="H83">
        <f>SUM(H3:H82)</f>
        <v>177</v>
      </c>
      <c r="I83">
        <f>SUM(I3:I82)</f>
        <v>872</v>
      </c>
      <c r="J83">
        <f>SUM(J3:J82)</f>
        <v>125</v>
      </c>
      <c r="K83">
        <f>COUNTIF(K3:K82,"&gt;0")</f>
        <v>6</v>
      </c>
      <c r="L83" s="4"/>
      <c r="M83" s="21"/>
    </row>
    <row r="163" spans="1:13" s="7" customFormat="1" x14ac:dyDescent="0.3">
      <c r="A163"/>
      <c r="B163"/>
      <c r="C163"/>
      <c r="D163" s="6">
        <f>AVERAGE(D12:D82)</f>
        <v>1.1499999999999992</v>
      </c>
      <c r="E163">
        <f>SUM(E12:E82)</f>
        <v>81</v>
      </c>
      <c r="F163">
        <f>SUM(F12:F82)</f>
        <v>75</v>
      </c>
      <c r="G163"/>
      <c r="H163"/>
      <c r="I163"/>
      <c r="J163"/>
      <c r="K163">
        <f>COUNTIF(K12:K82,"&gt;0")</f>
        <v>6</v>
      </c>
      <c r="L163" s="4" t="e">
        <f>AVERAGE(L12:L82)</f>
        <v>#DIV/0!</v>
      </c>
      <c r="M163" s="21"/>
    </row>
  </sheetData>
  <autoFilter ref="L1:L163" xr:uid="{3BDC2A91-F62C-482F-8F5A-8E214630FF7D}"/>
  <phoneticPr fontId="1" type="noConversion"/>
  <conditionalFormatting sqref="K2:K82">
    <cfRule type="containsText" dxfId="38" priority="3" operator="containsText" text="FALSE">
      <formula>NOT(ISERROR(SEARCH("FALSE",K2)))</formula>
    </cfRule>
  </conditionalFormatting>
  <conditionalFormatting sqref="M1 M83:M162">
    <cfRule type="containsText" dxfId="37" priority="2" operator="containsText" text="false">
      <formula>NOT(ISERROR(SEARCH("false",M1)))</formula>
    </cfRule>
  </conditionalFormatting>
  <conditionalFormatting sqref="N43:N82">
    <cfRule type="containsText" dxfId="36" priority="1" operator="containsText" text="FALSE">
      <formula>NOT(ISERROR(SEARCH("FALSE",N43)))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A6DC-19A1-42A7-B8DC-80B2FF5E88CB}">
  <dimension ref="A2:I14"/>
  <sheetViews>
    <sheetView workbookViewId="0">
      <selection activeCell="F4" sqref="F4"/>
    </sheetView>
  </sheetViews>
  <sheetFormatPr defaultRowHeight="16.5" x14ac:dyDescent="0.3"/>
  <sheetData>
    <row r="2" spans="1:9" x14ac:dyDescent="0.3">
      <c r="A2">
        <v>4</v>
      </c>
      <c r="B2">
        <v>96.7</v>
      </c>
    </row>
    <row r="4" spans="1:9" x14ac:dyDescent="0.3">
      <c r="B4">
        <v>0.9</v>
      </c>
      <c r="C4">
        <v>1.25</v>
      </c>
      <c r="D4">
        <v>11</v>
      </c>
      <c r="E4">
        <v>98.34</v>
      </c>
      <c r="F4" s="33">
        <f>E4/$B$2-1</f>
        <v>1.6959669079627648E-2</v>
      </c>
      <c r="G4">
        <v>0.91</v>
      </c>
      <c r="H4">
        <v>1.2230000000000001</v>
      </c>
      <c r="I4">
        <v>1</v>
      </c>
    </row>
    <row r="5" spans="1:9" x14ac:dyDescent="0.3">
      <c r="B5">
        <v>0.9</v>
      </c>
      <c r="C5">
        <v>1.05</v>
      </c>
      <c r="D5">
        <v>12</v>
      </c>
      <c r="E5">
        <v>98.16</v>
      </c>
      <c r="F5" s="33">
        <f>E5/$B$2-1</f>
        <v>1.5098241985522121E-2</v>
      </c>
      <c r="G5">
        <v>0.95199999999999996</v>
      </c>
      <c r="H5">
        <v>1.042</v>
      </c>
      <c r="I5">
        <v>2</v>
      </c>
    </row>
    <row r="6" spans="1:9" x14ac:dyDescent="0.3">
      <c r="B6">
        <v>0.95</v>
      </c>
      <c r="C6">
        <v>1.25</v>
      </c>
      <c r="D6">
        <v>10</v>
      </c>
      <c r="E6">
        <v>98.48</v>
      </c>
      <c r="F6" s="33">
        <f>E6/$B$2-1</f>
        <v>1.8407445708376491E-2</v>
      </c>
      <c r="G6">
        <v>0.95</v>
      </c>
      <c r="H6">
        <v>1.206</v>
      </c>
      <c r="I6">
        <v>3</v>
      </c>
    </row>
    <row r="7" spans="1:9" x14ac:dyDescent="0.3">
      <c r="B7">
        <v>0.95</v>
      </c>
      <c r="C7">
        <v>1.05</v>
      </c>
      <c r="D7">
        <v>11</v>
      </c>
      <c r="E7">
        <v>98.33</v>
      </c>
      <c r="F7" s="33">
        <f t="shared" ref="F7" si="0">E7/$B$2-1</f>
        <v>1.6856256463288366E-2</v>
      </c>
      <c r="G7">
        <v>0.98699999999999999</v>
      </c>
      <c r="H7">
        <v>1.022</v>
      </c>
      <c r="I7">
        <v>4</v>
      </c>
    </row>
    <row r="9" spans="1:9" x14ac:dyDescent="0.3">
      <c r="A9">
        <v>5</v>
      </c>
      <c r="B9">
        <v>97.53</v>
      </c>
    </row>
    <row r="11" spans="1:9" x14ac:dyDescent="0.3">
      <c r="B11">
        <v>0.9</v>
      </c>
      <c r="C11">
        <v>1.25</v>
      </c>
      <c r="E11">
        <v>99.04</v>
      </c>
      <c r="F11" s="33">
        <f>E11/$B$9-1</f>
        <v>1.5482415666974392E-2</v>
      </c>
      <c r="G11">
        <v>0.90400000000000003</v>
      </c>
      <c r="H11">
        <v>1.149</v>
      </c>
      <c r="I11">
        <v>1</v>
      </c>
    </row>
    <row r="12" spans="1:9" x14ac:dyDescent="0.3">
      <c r="B12">
        <v>0.9</v>
      </c>
      <c r="C12">
        <v>1.05</v>
      </c>
      <c r="E12">
        <v>99.03</v>
      </c>
      <c r="F12" s="33">
        <f>E12/$B$9-1</f>
        <v>1.5379883112888404E-2</v>
      </c>
      <c r="G12">
        <v>0.95899999999999996</v>
      </c>
      <c r="H12">
        <v>1.048</v>
      </c>
      <c r="I12">
        <v>2</v>
      </c>
    </row>
    <row r="13" spans="1:9" x14ac:dyDescent="0.3">
      <c r="B13">
        <v>0.95</v>
      </c>
      <c r="C13">
        <v>1.25</v>
      </c>
      <c r="E13">
        <v>99.02</v>
      </c>
      <c r="F13" s="33">
        <f>E13/$B$9-1</f>
        <v>1.5277350558802416E-2</v>
      </c>
      <c r="G13">
        <v>0.95199999999999996</v>
      </c>
      <c r="H13">
        <v>1.137</v>
      </c>
      <c r="I13">
        <v>3</v>
      </c>
    </row>
    <row r="14" spans="1:9" x14ac:dyDescent="0.3">
      <c r="B14">
        <v>0.95</v>
      </c>
      <c r="C14">
        <v>1.05</v>
      </c>
      <c r="E14">
        <v>99.04</v>
      </c>
      <c r="F14" s="33">
        <f t="shared" ref="F14" si="1">E14/$B$9-1</f>
        <v>1.5482415666974392E-2</v>
      </c>
      <c r="G14">
        <v>0.95</v>
      </c>
      <c r="H14">
        <v>1.026</v>
      </c>
      <c r="I14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no_cg</vt:lpstr>
      <vt:lpstr>low_high_no_cg</vt:lpstr>
      <vt:lpstr>large_size_no_cg</vt:lpstr>
      <vt:lpstr>no_observation</vt:lpstr>
      <vt:lpstr>base_high</vt:lpstr>
      <vt:lpstr>low_high</vt:lpstr>
      <vt:lpstr>high_high</vt:lpstr>
      <vt:lpstr>large_size_ATCSQ</vt:lpstr>
      <vt:lpstr>large_size_GA</vt:lpstr>
      <vt:lpstr>large_size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이동하</dc:creator>
  <cp:lastModifiedBy>Lee Dong-Ha</cp:lastModifiedBy>
  <dcterms:created xsi:type="dcterms:W3CDTF">2025-01-14T09:27:40Z</dcterms:created>
  <dcterms:modified xsi:type="dcterms:W3CDTF">2025-12-15T02:02:41Z</dcterms:modified>
</cp:coreProperties>
</file>